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PI_System\KPI SAMPLE-FILE\SAMPLE-DEPT-WISE-FILE\"/>
    </mc:Choice>
  </mc:AlternateContent>
  <xr:revisionPtr revIDLastSave="0" documentId="13_ncr:1_{5C655B5C-5055-4765-9297-2D4318CFABE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ummary (3)" sheetId="1" r:id="rId1"/>
    <sheet name="KPI October-2024" sheetId="2" r:id="rId2"/>
    <sheet name="KPI December-2025" sheetId="3" r:id="rId3"/>
  </sheets>
  <definedNames>
    <definedName name="_xlnm._FilterDatabase" localSheetId="1" hidden="1">'KPI October-2024'!$A$13:$AC$41</definedName>
    <definedName name="_xlnm._FilterDatabase" localSheetId="0" hidden="1">'Summary (3)'!$A$4:$G$4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1" i="2" l="1"/>
  <c r="Z41" i="2" s="1"/>
  <c r="AA41" i="2" s="1"/>
  <c r="Y40" i="2"/>
  <c r="Z40" i="2" s="1"/>
  <c r="AA40" i="2" s="1"/>
  <c r="Y39" i="2"/>
  <c r="Z39" i="2" s="1"/>
  <c r="AA39" i="2" s="1"/>
  <c r="Y38" i="2"/>
  <c r="Z38" i="2" s="1"/>
  <c r="AA38" i="2" s="1"/>
  <c r="Z37" i="2"/>
  <c r="AA37" i="2" s="1"/>
  <c r="Y37" i="2"/>
  <c r="Y36" i="2"/>
  <c r="Z36" i="2" s="1"/>
  <c r="AA36" i="2" s="1"/>
  <c r="Y35" i="2"/>
  <c r="Z35" i="2" s="1"/>
  <c r="AA35" i="2" s="1"/>
  <c r="Y34" i="2"/>
  <c r="Z34" i="2" s="1"/>
  <c r="AA34" i="2" s="1"/>
  <c r="Y33" i="2"/>
  <c r="Z33" i="2" s="1"/>
  <c r="AA33" i="2" s="1"/>
  <c r="Y32" i="2"/>
  <c r="Z32" i="2" s="1"/>
  <c r="AA32" i="2" s="1"/>
  <c r="Y31" i="2"/>
  <c r="Z31" i="2" s="1"/>
  <c r="AA31" i="2" s="1"/>
  <c r="Y30" i="2"/>
  <c r="Z30" i="2" s="1"/>
  <c r="AA30" i="2" s="1"/>
  <c r="Z29" i="2"/>
  <c r="AA29" i="2" s="1"/>
  <c r="Y29" i="2"/>
  <c r="AA28" i="2"/>
  <c r="Z28" i="2"/>
  <c r="Y28" i="2"/>
  <c r="Y27" i="2"/>
  <c r="Z27" i="2" s="1"/>
  <c r="AA27" i="2" s="1"/>
  <c r="Y26" i="2"/>
  <c r="Z26" i="2" s="1"/>
  <c r="AA26" i="2" s="1"/>
  <c r="Y25" i="2"/>
  <c r="Z25" i="2" s="1"/>
  <c r="AA25" i="2" s="1"/>
  <c r="Y24" i="2"/>
  <c r="Z24" i="2" s="1"/>
  <c r="AA24" i="2" s="1"/>
  <c r="Z23" i="2"/>
  <c r="AA23" i="2" s="1"/>
  <c r="Y23" i="2"/>
  <c r="Y22" i="2"/>
  <c r="Z22" i="2" s="1"/>
  <c r="AA22" i="2" s="1"/>
  <c r="Z21" i="2"/>
  <c r="AA21" i="2" s="1"/>
  <c r="Y21" i="2"/>
  <c r="Y20" i="2"/>
  <c r="Z20" i="2" s="1"/>
  <c r="AA20" i="2" s="1"/>
  <c r="Y19" i="2"/>
  <c r="Z19" i="2" s="1"/>
  <c r="AA19" i="2" s="1"/>
  <c r="Y18" i="2"/>
  <c r="Z18" i="2" s="1"/>
  <c r="AA18" i="2" s="1"/>
  <c r="Y17" i="2"/>
  <c r="Z17" i="2" s="1"/>
  <c r="AA17" i="2" s="1"/>
  <c r="Y16" i="2"/>
  <c r="Z16" i="2" s="1"/>
  <c r="AA16" i="2" s="1"/>
  <c r="Y15" i="2"/>
  <c r="Z15" i="2" s="1"/>
  <c r="AA15" i="2" s="1"/>
  <c r="Y14" i="2"/>
  <c r="Z14" i="2" s="1"/>
  <c r="AA14" i="2" s="1"/>
  <c r="G23" i="1"/>
  <c r="G27" i="1" s="1"/>
  <c r="F23" i="1"/>
  <c r="E23" i="1"/>
  <c r="D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I9" i="1" s="1"/>
  <c r="H8" i="1"/>
  <c r="H7" i="1"/>
  <c r="H6" i="1"/>
  <c r="H5" i="1"/>
</calcChain>
</file>

<file path=xl/sharedStrings.xml><?xml version="1.0" encoding="utf-8"?>
<sst xmlns="http://schemas.openxmlformats.org/spreadsheetml/2006/main" count="429" uniqueCount="176">
  <si>
    <t>Company Name:Sonia and Sweaters Ltd.
Ex Factory 01 to 30 Sep</t>
  </si>
  <si>
    <t>SL</t>
  </si>
  <si>
    <t>Buyer Name</t>
  </si>
  <si>
    <t>Team Leader</t>
  </si>
  <si>
    <t>Order Qty</t>
  </si>
  <si>
    <t>Order Value</t>
  </si>
  <si>
    <t>Shipment Qty</t>
  </si>
  <si>
    <t>Shipment Value</t>
  </si>
  <si>
    <t>Vingino</t>
  </si>
  <si>
    <t>Mr. Arif</t>
  </si>
  <si>
    <t>Monoprix [Cobalt]</t>
  </si>
  <si>
    <t>Mr. Asad</t>
  </si>
  <si>
    <t>TAROCASH</t>
  </si>
  <si>
    <t>Macys</t>
  </si>
  <si>
    <t>S.Oliver</t>
  </si>
  <si>
    <t>Mr. Bellal Hossain Helal</t>
  </si>
  <si>
    <t>The Children s Place</t>
  </si>
  <si>
    <t>Mr. Billal</t>
  </si>
  <si>
    <t xml:space="preserve">Dimensions UK </t>
  </si>
  <si>
    <t>Celio</t>
  </si>
  <si>
    <t>Mr. Enjamul</t>
  </si>
  <si>
    <t>Londre Textile</t>
  </si>
  <si>
    <t>Mr. Farhad</t>
  </si>
  <si>
    <t>MQ MarQet AB</t>
  </si>
  <si>
    <t>RICKIS</t>
  </si>
  <si>
    <t>Mr. Jony</t>
  </si>
  <si>
    <t>Casamoda</t>
  </si>
  <si>
    <t>Mr. junayed</t>
  </si>
  <si>
    <t>BRAX [ZXY]</t>
  </si>
  <si>
    <t>TCHIBO</t>
  </si>
  <si>
    <t>Mr. Kajol</t>
  </si>
  <si>
    <t>Jeans Fritz</t>
  </si>
  <si>
    <t>Mr. khairul</t>
  </si>
  <si>
    <t>Malwee</t>
  </si>
  <si>
    <t>Mr. Mahin</t>
  </si>
  <si>
    <t>Carters</t>
  </si>
  <si>
    <t>Mr. Omar</t>
  </si>
  <si>
    <t>Premier [ZXY]</t>
  </si>
  <si>
    <t>Mr. Shibbly</t>
  </si>
  <si>
    <t>Total</t>
  </si>
  <si>
    <t>Sonia &amp; Sweaters Ltd.</t>
  </si>
  <si>
    <t>KPI For Marchandiser For The Month Of October-2024</t>
  </si>
  <si>
    <t>Marking Weight</t>
  </si>
  <si>
    <t>Mark</t>
  </si>
  <si>
    <t>Percentage</t>
  </si>
  <si>
    <t>Grade</t>
  </si>
  <si>
    <t>Exceeds Expectations</t>
  </si>
  <si>
    <t>90-100</t>
  </si>
  <si>
    <t>A</t>
  </si>
  <si>
    <t>Meets Expectations</t>
  </si>
  <si>
    <t>80-89</t>
  </si>
  <si>
    <t>B</t>
  </si>
  <si>
    <t>Marginally Meets Expectations</t>
  </si>
  <si>
    <t>60-79</t>
  </si>
  <si>
    <t>C</t>
  </si>
  <si>
    <t>Significantly Below expectations</t>
  </si>
  <si>
    <t>0-59</t>
  </si>
  <si>
    <t>F</t>
  </si>
  <si>
    <t>Production</t>
  </si>
  <si>
    <t>Planning</t>
  </si>
  <si>
    <t>Yarn</t>
  </si>
  <si>
    <t>Store</t>
  </si>
  <si>
    <t>Commercial Dept.</t>
  </si>
  <si>
    <t>ERP</t>
  </si>
  <si>
    <t>HR</t>
  </si>
  <si>
    <t>Reporting Boss</t>
  </si>
  <si>
    <t>ID No</t>
  </si>
  <si>
    <t>Merchandiser's Name</t>
  </si>
  <si>
    <t>Designation</t>
  </si>
  <si>
    <t>Does the merchandiser attend the PP meeting and clarify all points?</t>
  </si>
  <si>
    <t>Does the merchandiser provide clear guidelines for any critical buyer comments?</t>
  </si>
  <si>
    <t xml:space="preserve">How cooperative is the merchandiser in the case of any production problem?     </t>
  </si>
  <si>
    <t>Does the merchandiser provide the forecast quantity and final quantity on time by email?</t>
  </si>
  <si>
    <t>TNA</t>
  </si>
  <si>
    <t>How cooperative is the merchandiser in case of any yarn problem?</t>
  </si>
  <si>
    <t>How efficiently merchandiser can handle yarn problem?</t>
  </si>
  <si>
    <t>Does the merchandiser provide clear information for yarn delivery?</t>
  </si>
  <si>
    <t>How cooperative is the merchandiser in case of any trims problem?</t>
  </si>
  <si>
    <t>How efficiently merchandiser can handle trims problem?</t>
  </si>
  <si>
    <t>Does the merchandiser provide clear information for trim delivery?</t>
  </si>
  <si>
    <t>Does the relevant merchandiser provide emails in due time for orders as per the ERP system?</t>
  </si>
  <si>
    <t>From the merchandiser do you receive the correct packing list?</t>
  </si>
  <si>
    <t>Have the LC documents been received correctly?</t>
  </si>
  <si>
    <t>Do you receive clear information from the merchandiser about any imports?</t>
  </si>
  <si>
    <t>Accuracy of ERP input</t>
  </si>
  <si>
    <t xml:space="preserve">How much is the achievement percentage of targeted production </t>
  </si>
  <si>
    <t xml:space="preserve">Are there any disciplinary Actions/Instructions?  </t>
  </si>
  <si>
    <t>Punctuality</t>
  </si>
  <si>
    <t>How is his overall performance in your opinion?</t>
  </si>
  <si>
    <t>Achieve Mark
(Out of 100)</t>
  </si>
  <si>
    <t>Achieve %</t>
  </si>
  <si>
    <t>মার্চেন্ডাইজার কি পিপি মিটিংয়ে উপস্থিত হন এবং সমস্ত পয়েন্ট স্পষ্ট করেন?</t>
  </si>
  <si>
    <t>জটিল / গুরুত্বপূর্ণ ক্রেতার ক্ষেত্রে মার্চেন্ডাইজার কি কোনো স্পষ্ট নির্দেশিকা প্রদান করে?</t>
  </si>
  <si>
    <t xml:space="preserve">
উৎপাদন সমস্যার ক্ষেত্রে মার্চেন্ডাইজার কতটা সহযোগিতামূলক?</t>
  </si>
  <si>
    <t>মার্চেন্ডাইজার কি ইমেইল এর মাধ্যমে সময়মতো সম্ভাব্য অর্ডারের পরিমাণ এবং চূড়ান্ত পরিমাণ প্রদান করে?</t>
  </si>
  <si>
    <t>টাইম এন্ড অ্যাকশন</t>
  </si>
  <si>
    <t>সুতার সমস্যার ক্ষেত্রে মার্চেন্ডাইজার কতটা সহযোগিতামূলক?</t>
  </si>
  <si>
    <t>মার্চেন্ডাইজার কতটা দক্ষতার সাথে সুতার সমস্যা মোকাবেলা করতে পারে?</t>
  </si>
  <si>
    <t>মার্চেন্ডাইজার কি সুতা সরবরাহের জন্য স্পষ্ট তথ্য প্রদান করে?</t>
  </si>
  <si>
    <t xml:space="preserve"> ট্রিমস সমস্যার ক্ষেত্রে মার্চেন্ডাইজার কতটা সহযোগিতামূলক?</t>
  </si>
  <si>
    <t>কতটা দক্ষতার সাথে মার্চেন্ডাইজার ট্রিমস সমস্যা পরিচালনা করতে পারে?</t>
  </si>
  <si>
    <t>মার্চেন্ডাইজার কি  ট্রিমস সরবরাহের জন্য স্পষ্ট তথ্য প্রদান করে?</t>
  </si>
  <si>
    <t>ERP সিস্টেম অনুযায়ী অর্ডারের জন্য প্রাসঙ্গিক মার্চেন্টাইজার কি সময়মত ইমেল প্রদান করেন?</t>
  </si>
  <si>
    <t>মার্চেন্ডাইজারের কাছ থেকে আপনি কি সঠিক প্যাকিং তালিকা পান?</t>
  </si>
  <si>
    <t>এলসি কাগজপত্র সঠিকভাবে গৃহীত হয়েছে?</t>
  </si>
  <si>
    <t>আপনি কি  আমদানি সম্পর্কে মার্চেন্ডাইজারের কাছ থেকে স্পষ্ট তথ্য পান?</t>
  </si>
  <si>
    <t>নির্ভুল ই আর পি ইনপুট</t>
  </si>
  <si>
    <t xml:space="preserve"> এই মাসে টার্গেটেড উৎপাদনের শতকরা হার ( %)</t>
  </si>
  <si>
    <t>কোন শাস্তিমূলক ব্যবস্থা/নির্দেশ আছে কি?</t>
  </si>
  <si>
    <t>সময়ানুবর্তিতা</t>
  </si>
  <si>
    <t>আপনার মতে তার সার্বিক পারফরম্যান্স কেমন?</t>
  </si>
  <si>
    <t>Mark Out of (5)</t>
  </si>
  <si>
    <t>Mark out of (5)</t>
  </si>
  <si>
    <t>HO-124</t>
  </si>
  <si>
    <t>Omar Sadeque Khan</t>
  </si>
  <si>
    <t>Sr. Manager</t>
  </si>
  <si>
    <t>HO-16</t>
  </si>
  <si>
    <t>Md. Billal Hossain</t>
  </si>
  <si>
    <t>Sr. Merchandiser</t>
  </si>
  <si>
    <t>HO-71</t>
  </si>
  <si>
    <t>Md. Anisur Rahman</t>
  </si>
  <si>
    <t>Merchandiser</t>
  </si>
  <si>
    <t>M-302</t>
  </si>
  <si>
    <t>Sheikh Shahriar Arif</t>
  </si>
  <si>
    <t>Asst. Merchandiser</t>
  </si>
  <si>
    <t>HO-165</t>
  </si>
  <si>
    <t>Md. Mossaddaque Hossain</t>
  </si>
  <si>
    <t>Jr. Merchandiser</t>
  </si>
  <si>
    <t>HO-176</t>
  </si>
  <si>
    <t>Sajjadur Rahman</t>
  </si>
  <si>
    <t>HO-118</t>
  </si>
  <si>
    <t>Nobiqul Islam Khandker Kajal</t>
  </si>
  <si>
    <t>HO-123</t>
  </si>
  <si>
    <t>Md. Abdur Rahman Doulat</t>
  </si>
  <si>
    <t>Merchandiser Assistant</t>
  </si>
  <si>
    <t>HO-26</t>
  </si>
  <si>
    <t>Md. Asaduzzaman</t>
  </si>
  <si>
    <t>HO-98</t>
  </si>
  <si>
    <t>Md. Mahafuzur Rahman Khan</t>
  </si>
  <si>
    <t>HO-154</t>
  </si>
  <si>
    <t>Md. Habibur Rahman</t>
  </si>
  <si>
    <t>HO-114</t>
  </si>
  <si>
    <t>Syed Amran Hossain</t>
  </si>
  <si>
    <t>HO-33</t>
  </si>
  <si>
    <t>Md. Alamgir Hasan Shibli</t>
  </si>
  <si>
    <t>HO-29</t>
  </si>
  <si>
    <t>Md. Tafiqul Islam</t>
  </si>
  <si>
    <t>HO-172</t>
  </si>
  <si>
    <t>Sabbir Hossen</t>
  </si>
  <si>
    <t>HO-140</t>
  </si>
  <si>
    <t>Md. Enjamul Haque</t>
  </si>
  <si>
    <t>HO-156</t>
  </si>
  <si>
    <t>Ahasan Habib Apu</t>
  </si>
  <si>
    <t>HO-86</t>
  </si>
  <si>
    <t>Muhammad Junayed Hossain</t>
  </si>
  <si>
    <t>HO-20</t>
  </si>
  <si>
    <t>Golam Zakaria Sumon</t>
  </si>
  <si>
    <t>HO-181</t>
  </si>
  <si>
    <t>Md. Khaled Mahmud Hasan</t>
  </si>
  <si>
    <t>HO-175</t>
  </si>
  <si>
    <t>Md. Obaidul Haque</t>
  </si>
  <si>
    <t>Asst. Manager</t>
  </si>
  <si>
    <t>HO-10</t>
  </si>
  <si>
    <t>Md. Farhad Hossain</t>
  </si>
  <si>
    <t>HO-170</t>
  </si>
  <si>
    <t>Md. Jony Uddin</t>
  </si>
  <si>
    <t>HO-182</t>
  </si>
  <si>
    <t>Md. Zahid Hassan</t>
  </si>
  <si>
    <t>HO-145</t>
  </si>
  <si>
    <t>Mahin Ahmed</t>
  </si>
  <si>
    <t>HO-127</t>
  </si>
  <si>
    <t>Md. Arifuzzaman</t>
  </si>
  <si>
    <t>HO-178</t>
  </si>
  <si>
    <t>Md. Bellal Hossain Helal</t>
  </si>
  <si>
    <t>Manager</t>
  </si>
  <si>
    <t>Md. Sazzad Hossain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</si>
</sst>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0"/>
      <color rgb="FF0000FF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14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3" fontId="0" fillId="0" borderId="0" xfId="0" applyNumberFormat="1"/>
    <xf numFmtId="10" fontId="0" fillId="0" borderId="0" xfId="0" applyNumberFormat="1"/>
    <xf numFmtId="0" fontId="0" fillId="0" borderId="3" xfId="0" applyBorder="1"/>
    <xf numFmtId="0" fontId="0" fillId="0" borderId="5" xfId="0" applyBorder="1"/>
    <xf numFmtId="0" fontId="0" fillId="0" borderId="4" xfId="0" applyBorder="1"/>
    <xf numFmtId="3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10" fillId="3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top" wrapText="1"/>
    </xf>
    <xf numFmtId="0" fontId="6" fillId="2" borderId="31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 applyAlignment="1">
      <alignment horizontal="left" vertical="center" wrapText="1"/>
    </xf>
    <xf numFmtId="0" fontId="0" fillId="0" borderId="18" xfId="0" applyBorder="1" applyAlignment="1">
      <alignment vertical="center"/>
    </xf>
    <xf numFmtId="0" fontId="0" fillId="3" borderId="38" xfId="0" applyFill="1" applyBorder="1" applyAlignment="1">
      <alignment horizontal="center"/>
    </xf>
    <xf numFmtId="0" fontId="6" fillId="2" borderId="39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0" fillId="3" borderId="39" xfId="0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/>
    </xf>
    <xf numFmtId="0" fontId="10" fillId="4" borderId="1" xfId="0" applyFont="1" applyFill="1" applyBorder="1" applyAlignment="1">
      <alignment horizontal="left" vertical="center" wrapText="1"/>
    </xf>
    <xf numFmtId="0" fontId="0" fillId="0" borderId="4" xfId="0" applyBorder="1"/>
    <xf numFmtId="0" fontId="6" fillId="2" borderId="1" xfId="0" applyFont="1" applyFill="1" applyBorder="1" applyAlignment="1">
      <alignment horizontal="center" vertical="center"/>
    </xf>
    <xf numFmtId="0" fontId="0" fillId="0" borderId="14" xfId="0" applyBorder="1"/>
    <xf numFmtId="0" fontId="10" fillId="3" borderId="17" xfId="0" applyFont="1" applyFill="1" applyBorder="1" applyAlignment="1">
      <alignment horizontal="center"/>
    </xf>
    <xf numFmtId="0" fontId="0" fillId="0" borderId="41" xfId="0" applyBorder="1"/>
    <xf numFmtId="0" fontId="0" fillId="0" borderId="37" xfId="0" applyBorder="1"/>
    <xf numFmtId="0" fontId="6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5" xfId="0" applyBorder="1"/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0" fillId="3" borderId="37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7"/>
  <sheetViews>
    <sheetView showGridLines="0" workbookViewId="0">
      <selection activeCell="J13" sqref="J13"/>
    </sheetView>
  </sheetViews>
  <sheetFormatPr defaultRowHeight="14.4" x14ac:dyDescent="0.3"/>
  <cols>
    <col min="1" max="1" width="4" bestFit="1" customWidth="1"/>
    <col min="2" max="2" width="17.33203125" bestFit="1" customWidth="1"/>
    <col min="3" max="3" width="23.88671875" customWidth="1"/>
    <col min="4" max="4" width="15.109375" customWidth="1"/>
    <col min="5" max="5" width="12.77734375" customWidth="1"/>
    <col min="6" max="6" width="12.5546875" bestFit="1" customWidth="1"/>
    <col min="7" max="7" width="14.44140625" bestFit="1" customWidth="1"/>
    <col min="8" max="8" width="11.21875" bestFit="1" customWidth="1"/>
    <col min="9" max="9" width="16.44140625" bestFit="1" customWidth="1"/>
    <col min="10" max="10" width="13.88671875" bestFit="1" customWidth="1"/>
    <col min="11" max="11" width="9.88671875" bestFit="1" customWidth="1"/>
    <col min="12" max="12" width="11.88671875" bestFit="1" customWidth="1"/>
    <col min="13" max="13" width="5.44140625" bestFit="1" customWidth="1"/>
    <col min="14" max="14" width="13.21875" bestFit="1" customWidth="1"/>
    <col min="15" max="15" width="9.109375" bestFit="1" customWidth="1"/>
    <col min="16" max="16" width="11.6640625" bestFit="1" customWidth="1"/>
    <col min="17" max="17" width="16.33203125" bestFit="1" customWidth="1"/>
    <col min="18" max="18" width="22.6640625" bestFit="1" customWidth="1"/>
    <col min="19" max="19" width="19.77734375" bestFit="1" customWidth="1"/>
    <col min="20" max="20" width="34.33203125" bestFit="1" customWidth="1"/>
    <col min="21" max="21" width="33.44140625" bestFit="1" customWidth="1"/>
    <col min="22" max="22" width="17" bestFit="1" customWidth="1"/>
    <col min="23" max="23" width="16.33203125" bestFit="1" customWidth="1"/>
    <col min="24" max="24" width="17.6640625" bestFit="1" customWidth="1"/>
    <col min="25" max="25" width="30.77734375" bestFit="1" customWidth="1"/>
    <col min="26" max="26" width="31.109375" bestFit="1" customWidth="1"/>
    <col min="27" max="27" width="14.88671875" bestFit="1" customWidth="1"/>
    <col min="28" max="28" width="11.77734375" bestFit="1" customWidth="1"/>
    <col min="29" max="29" width="22" bestFit="1" customWidth="1"/>
    <col min="30" max="30" width="18.88671875" bestFit="1" customWidth="1"/>
    <col min="31" max="31" width="20.6640625" bestFit="1" customWidth="1"/>
    <col min="32" max="32" width="18.33203125" bestFit="1" customWidth="1"/>
    <col min="33" max="33" width="8.5546875" bestFit="1" customWidth="1"/>
    <col min="34" max="34" width="19.77734375" bestFit="1" customWidth="1"/>
    <col min="35" max="35" width="15.77734375" bestFit="1" customWidth="1"/>
    <col min="36" max="36" width="23.44140625" bestFit="1" customWidth="1"/>
    <col min="37" max="37" width="14.21875" bestFit="1" customWidth="1"/>
    <col min="38" max="38" width="17.21875" bestFit="1" customWidth="1"/>
  </cols>
  <sheetData>
    <row r="1" spans="1:9" ht="14.4" customHeight="1" x14ac:dyDescent="0.3">
      <c r="A1" s="109" t="s">
        <v>0</v>
      </c>
      <c r="B1" s="110"/>
      <c r="C1" s="110"/>
      <c r="D1" s="110"/>
      <c r="E1" s="110"/>
      <c r="F1" s="110"/>
      <c r="G1" s="111"/>
    </row>
    <row r="2" spans="1:9" ht="14.4" customHeight="1" x14ac:dyDescent="0.3">
      <c r="A2" s="112"/>
      <c r="B2" s="113"/>
      <c r="C2" s="113"/>
      <c r="D2" s="113"/>
      <c r="E2" s="113"/>
      <c r="F2" s="113"/>
      <c r="G2" s="114"/>
    </row>
    <row r="3" spans="1:9" ht="14.4" customHeight="1" x14ac:dyDescent="0.3">
      <c r="A3" s="115"/>
      <c r="B3" s="116"/>
      <c r="C3" s="116"/>
      <c r="D3" s="116"/>
      <c r="E3" s="116"/>
      <c r="F3" s="116"/>
      <c r="G3" s="117"/>
    </row>
    <row r="4" spans="1:9" x14ac:dyDescent="0.3">
      <c r="A4" s="17" t="s">
        <v>1</v>
      </c>
      <c r="B4" s="17" t="s">
        <v>2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</row>
    <row r="5" spans="1:9" x14ac:dyDescent="0.3">
      <c r="A5" s="18">
        <v>1</v>
      </c>
      <c r="B5" s="15" t="s">
        <v>8</v>
      </c>
      <c r="C5" s="15" t="s">
        <v>9</v>
      </c>
      <c r="D5" s="19">
        <v>4976</v>
      </c>
      <c r="E5" s="20">
        <v>31026.959999999999</v>
      </c>
      <c r="F5" s="21">
        <v>4976</v>
      </c>
      <c r="G5" s="20">
        <v>31026.959999999999</v>
      </c>
      <c r="H5" s="22">
        <f t="shared" ref="H5:H22" si="0">F5-D5</f>
        <v>0</v>
      </c>
      <c r="I5" s="23"/>
    </row>
    <row r="6" spans="1:9" x14ac:dyDescent="0.3">
      <c r="A6" s="18">
        <v>2</v>
      </c>
      <c r="B6" s="15" t="s">
        <v>10</v>
      </c>
      <c r="C6" s="15" t="s">
        <v>11</v>
      </c>
      <c r="D6" s="19">
        <v>25180</v>
      </c>
      <c r="E6" s="20">
        <v>257526.76</v>
      </c>
      <c r="F6" s="21">
        <v>25090</v>
      </c>
      <c r="G6" s="20">
        <v>256201.96</v>
      </c>
      <c r="H6" s="22">
        <f t="shared" si="0"/>
        <v>-90</v>
      </c>
      <c r="I6" s="23"/>
    </row>
    <row r="7" spans="1:9" x14ac:dyDescent="0.3">
      <c r="A7" s="18">
        <v>3</v>
      </c>
      <c r="B7" s="15" t="s">
        <v>12</v>
      </c>
      <c r="C7" s="15" t="s">
        <v>11</v>
      </c>
      <c r="D7" s="19">
        <v>2200</v>
      </c>
      <c r="E7" s="20">
        <v>18480</v>
      </c>
      <c r="F7" s="21">
        <v>2218</v>
      </c>
      <c r="G7" s="20">
        <v>18631.2</v>
      </c>
      <c r="H7" s="22">
        <f t="shared" si="0"/>
        <v>18</v>
      </c>
      <c r="I7" s="23"/>
    </row>
    <row r="8" spans="1:9" x14ac:dyDescent="0.3">
      <c r="A8" s="18">
        <v>4</v>
      </c>
      <c r="B8" s="15" t="s">
        <v>13</v>
      </c>
      <c r="C8" s="15" t="s">
        <v>11</v>
      </c>
      <c r="D8" s="19">
        <v>18122</v>
      </c>
      <c r="E8" s="20">
        <v>133196.70000000001</v>
      </c>
      <c r="F8" s="21">
        <v>18122</v>
      </c>
      <c r="G8" s="20">
        <v>133196.70000000001</v>
      </c>
      <c r="H8" s="22">
        <f t="shared" si="0"/>
        <v>0</v>
      </c>
      <c r="I8" s="23"/>
    </row>
    <row r="9" spans="1:9" x14ac:dyDescent="0.3">
      <c r="A9" s="18">
        <v>5</v>
      </c>
      <c r="B9" s="15" t="s">
        <v>14</v>
      </c>
      <c r="C9" s="15" t="s">
        <v>15</v>
      </c>
      <c r="D9" s="19">
        <v>24334</v>
      </c>
      <c r="E9" s="20">
        <v>149258.23000000001</v>
      </c>
      <c r="F9" s="21">
        <v>24542</v>
      </c>
      <c r="G9" s="20">
        <v>150215.03</v>
      </c>
      <c r="H9" s="22">
        <f t="shared" si="0"/>
        <v>208</v>
      </c>
      <c r="I9" s="23">
        <f>H9/D9</f>
        <v>8.5477110216158458E-3</v>
      </c>
    </row>
    <row r="10" spans="1:9" x14ac:dyDescent="0.3">
      <c r="A10" s="18">
        <v>6</v>
      </c>
      <c r="B10" s="15" t="s">
        <v>16</v>
      </c>
      <c r="C10" s="15" t="s">
        <v>17</v>
      </c>
      <c r="D10" s="19">
        <v>87191</v>
      </c>
      <c r="E10" s="20">
        <v>318105.09999999998</v>
      </c>
      <c r="F10" s="21">
        <v>87299</v>
      </c>
      <c r="G10" s="20">
        <v>318568.42</v>
      </c>
      <c r="H10" s="22">
        <f t="shared" si="0"/>
        <v>108</v>
      </c>
      <c r="I10" s="23"/>
    </row>
    <row r="11" spans="1:9" x14ac:dyDescent="0.3">
      <c r="A11" s="18">
        <v>7</v>
      </c>
      <c r="B11" s="15" t="s">
        <v>18</v>
      </c>
      <c r="C11" s="15" t="s">
        <v>17</v>
      </c>
      <c r="D11" s="19">
        <v>1355</v>
      </c>
      <c r="E11" s="20">
        <v>18902.25</v>
      </c>
      <c r="F11" s="21">
        <v>1355</v>
      </c>
      <c r="G11" s="20">
        <v>18902.25</v>
      </c>
      <c r="H11" s="22">
        <f t="shared" si="0"/>
        <v>0</v>
      </c>
      <c r="I11" s="23"/>
    </row>
    <row r="12" spans="1:9" x14ac:dyDescent="0.3">
      <c r="A12" s="18">
        <v>8</v>
      </c>
      <c r="B12" s="15" t="s">
        <v>19</v>
      </c>
      <c r="C12" s="15" t="s">
        <v>20</v>
      </c>
      <c r="D12" s="19">
        <v>78180</v>
      </c>
      <c r="E12" s="20">
        <v>596260.19999999995</v>
      </c>
      <c r="F12" s="21">
        <v>79466</v>
      </c>
      <c r="G12" s="20">
        <v>605299.9</v>
      </c>
      <c r="H12" s="22">
        <f t="shared" si="0"/>
        <v>1286</v>
      </c>
      <c r="I12" s="23"/>
    </row>
    <row r="13" spans="1:9" x14ac:dyDescent="0.3">
      <c r="A13" s="18">
        <v>9</v>
      </c>
      <c r="B13" s="15" t="s">
        <v>21</v>
      </c>
      <c r="C13" s="15" t="s">
        <v>22</v>
      </c>
      <c r="D13" s="19">
        <v>1500</v>
      </c>
      <c r="E13" s="20">
        <v>6600</v>
      </c>
      <c r="F13" s="21">
        <v>1524</v>
      </c>
      <c r="G13" s="20">
        <v>6705.6</v>
      </c>
      <c r="H13" s="22">
        <f t="shared" si="0"/>
        <v>24</v>
      </c>
      <c r="I13" s="23"/>
    </row>
    <row r="14" spans="1:9" x14ac:dyDescent="0.3">
      <c r="A14" s="18">
        <v>10</v>
      </c>
      <c r="B14" s="15" t="s">
        <v>23</v>
      </c>
      <c r="C14" s="15" t="s">
        <v>22</v>
      </c>
      <c r="D14" s="19">
        <v>4550</v>
      </c>
      <c r="E14" s="20">
        <v>80675</v>
      </c>
      <c r="F14" s="21">
        <v>4591</v>
      </c>
      <c r="G14" s="20">
        <v>81093.45</v>
      </c>
      <c r="H14" s="22">
        <f t="shared" si="0"/>
        <v>41</v>
      </c>
      <c r="I14" s="23"/>
    </row>
    <row r="15" spans="1:9" x14ac:dyDescent="0.3">
      <c r="A15" s="18">
        <v>11</v>
      </c>
      <c r="B15" s="15" t="s">
        <v>24</v>
      </c>
      <c r="C15" s="15" t="s">
        <v>25</v>
      </c>
      <c r="D15" s="19">
        <v>4750</v>
      </c>
      <c r="E15" s="20">
        <v>33662.5</v>
      </c>
      <c r="F15" s="21">
        <v>4740</v>
      </c>
      <c r="G15" s="20">
        <v>33592.5</v>
      </c>
      <c r="H15" s="22">
        <f t="shared" si="0"/>
        <v>-10</v>
      </c>
      <c r="I15" s="23"/>
    </row>
    <row r="16" spans="1:9" x14ac:dyDescent="0.3">
      <c r="A16" s="18">
        <v>12</v>
      </c>
      <c r="B16" s="15" t="s">
        <v>26</v>
      </c>
      <c r="C16" s="15" t="s">
        <v>27</v>
      </c>
      <c r="D16" s="19">
        <v>9310</v>
      </c>
      <c r="E16" s="20">
        <v>167081.5</v>
      </c>
      <c r="F16" s="21">
        <v>9626</v>
      </c>
      <c r="G16" s="20">
        <v>172792.3</v>
      </c>
      <c r="H16" s="22">
        <f t="shared" si="0"/>
        <v>316</v>
      </c>
      <c r="I16" s="23"/>
    </row>
    <row r="17" spans="1:9" x14ac:dyDescent="0.3">
      <c r="A17" s="18">
        <v>13</v>
      </c>
      <c r="B17" s="15" t="s">
        <v>28</v>
      </c>
      <c r="C17" s="15" t="s">
        <v>27</v>
      </c>
      <c r="D17" s="19">
        <v>3860</v>
      </c>
      <c r="E17" s="20">
        <v>55762</v>
      </c>
      <c r="F17" s="21">
        <v>3858</v>
      </c>
      <c r="G17" s="20">
        <v>55732.1</v>
      </c>
      <c r="H17" s="22">
        <f t="shared" si="0"/>
        <v>-2</v>
      </c>
      <c r="I17" s="23"/>
    </row>
    <row r="18" spans="1:9" x14ac:dyDescent="0.3">
      <c r="A18" s="18">
        <v>14</v>
      </c>
      <c r="B18" s="15" t="s">
        <v>29</v>
      </c>
      <c r="C18" s="15" t="s">
        <v>30</v>
      </c>
      <c r="D18" s="19">
        <v>4864</v>
      </c>
      <c r="E18" s="20">
        <v>17315.84</v>
      </c>
      <c r="F18" s="21">
        <v>4882</v>
      </c>
      <c r="G18" s="20">
        <v>17379.919999999998</v>
      </c>
      <c r="H18" s="22">
        <f t="shared" si="0"/>
        <v>18</v>
      </c>
      <c r="I18" s="23"/>
    </row>
    <row r="19" spans="1:9" x14ac:dyDescent="0.3">
      <c r="A19" s="18">
        <v>15</v>
      </c>
      <c r="B19" s="15" t="s">
        <v>31</v>
      </c>
      <c r="C19" s="15" t="s">
        <v>32</v>
      </c>
      <c r="D19" s="19">
        <v>43265</v>
      </c>
      <c r="E19" s="20">
        <v>364542.6</v>
      </c>
      <c r="F19" s="21">
        <v>43844</v>
      </c>
      <c r="G19" s="20">
        <v>370307.25</v>
      </c>
      <c r="H19" s="22">
        <f t="shared" si="0"/>
        <v>579</v>
      </c>
      <c r="I19" s="23"/>
    </row>
    <row r="20" spans="1:9" x14ac:dyDescent="0.3">
      <c r="A20" s="18">
        <v>16</v>
      </c>
      <c r="B20" s="15" t="s">
        <v>33</v>
      </c>
      <c r="C20" s="15" t="s">
        <v>34</v>
      </c>
      <c r="D20" s="19">
        <v>1017</v>
      </c>
      <c r="E20" s="20">
        <v>4850.3100000000004</v>
      </c>
      <c r="F20" s="21">
        <v>1012</v>
      </c>
      <c r="G20" s="20">
        <v>4823.76</v>
      </c>
      <c r="H20" s="22">
        <f t="shared" si="0"/>
        <v>-5</v>
      </c>
      <c r="I20" s="23"/>
    </row>
    <row r="21" spans="1:9" x14ac:dyDescent="0.3">
      <c r="A21" s="18">
        <v>17</v>
      </c>
      <c r="B21" s="15" t="s">
        <v>35</v>
      </c>
      <c r="C21" s="15" t="s">
        <v>36</v>
      </c>
      <c r="D21" s="19">
        <v>95715</v>
      </c>
      <c r="E21" s="20">
        <v>338995.69</v>
      </c>
      <c r="F21" s="21">
        <v>96154</v>
      </c>
      <c r="G21" s="20">
        <v>340547.72</v>
      </c>
      <c r="H21" s="22">
        <f t="shared" si="0"/>
        <v>439</v>
      </c>
      <c r="I21" s="23"/>
    </row>
    <row r="22" spans="1:9" x14ac:dyDescent="0.3">
      <c r="A22" s="18">
        <v>18</v>
      </c>
      <c r="B22" s="15" t="s">
        <v>37</v>
      </c>
      <c r="C22" s="15" t="s">
        <v>38</v>
      </c>
      <c r="D22" s="19">
        <v>16812</v>
      </c>
      <c r="E22" s="20">
        <v>98722.2</v>
      </c>
      <c r="F22" s="21">
        <v>16812</v>
      </c>
      <c r="G22" s="20">
        <v>98722.2</v>
      </c>
      <c r="H22" s="22">
        <f t="shared" si="0"/>
        <v>0</v>
      </c>
      <c r="I22" s="23"/>
    </row>
    <row r="23" spans="1:9" x14ac:dyDescent="0.3">
      <c r="A23" s="24" t="s">
        <v>39</v>
      </c>
      <c r="B23" s="25"/>
      <c r="C23" s="26"/>
      <c r="D23" s="27">
        <f>SUM(D5:D22)</f>
        <v>427181</v>
      </c>
      <c r="E23" s="28">
        <f>SUM(E5:E22)</f>
        <v>2690963.8400000003</v>
      </c>
      <c r="F23" s="29">
        <f>SUM(F5:F22)</f>
        <v>430111</v>
      </c>
      <c r="G23" s="28">
        <f>SUM(G5:G22)</f>
        <v>2713739.2199999997</v>
      </c>
    </row>
    <row r="27" spans="1:9" x14ac:dyDescent="0.3">
      <c r="G27" s="23">
        <f>G22/G23</f>
        <v>3.6378661321775793E-2</v>
      </c>
    </row>
  </sheetData>
  <autoFilter ref="A4:G4" xr:uid="{00000000-0009-0000-0000-000000000000}">
    <sortState xmlns:xlrd2="http://schemas.microsoft.com/office/spreadsheetml/2017/richdata2" ref="A5:G23">
      <sortCondition ref="C4"/>
    </sortState>
  </autoFilter>
  <mergeCells count="1">
    <mergeCell ref="A1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00B050"/>
  </sheetPr>
  <dimension ref="A1:AC41"/>
  <sheetViews>
    <sheetView tabSelected="1" topLeftCell="F1" zoomScale="90" zoomScaleNormal="90" workbookViewId="0">
      <selection activeCell="M9" sqref="M9:O9"/>
    </sheetView>
  </sheetViews>
  <sheetFormatPr defaultRowHeight="14.4" x14ac:dyDescent="0.3"/>
  <cols>
    <col min="1" max="1" width="5.44140625" style="3" customWidth="1"/>
    <col min="2" max="2" width="7.77734375" style="3" bestFit="1" customWidth="1"/>
    <col min="3" max="3" width="22" style="10" bestFit="1" customWidth="1"/>
    <col min="4" max="4" width="20" style="4" bestFit="1" customWidth="1"/>
    <col min="5" max="5" width="18.5546875" style="4" customWidth="1"/>
    <col min="6" max="6" width="16.88671875" style="4" customWidth="1"/>
    <col min="7" max="7" width="16.77734375" style="5" customWidth="1"/>
    <col min="8" max="8" width="17.21875" style="4" customWidth="1"/>
    <col min="9" max="9" width="16.77734375" style="4" customWidth="1"/>
    <col min="10" max="16" width="17.21875" style="4" customWidth="1"/>
    <col min="17" max="17" width="16.5546875" style="35" customWidth="1"/>
    <col min="18" max="18" width="17" style="4" customWidth="1"/>
    <col min="19" max="19" width="17.21875" style="4" customWidth="1"/>
    <col min="20" max="20" width="16.77734375" style="4" customWidth="1"/>
    <col min="21" max="23" width="17.21875" style="4" customWidth="1"/>
    <col min="24" max="24" width="16.44140625" style="4" customWidth="1"/>
    <col min="25" max="25" width="15.88671875" style="4" customWidth="1"/>
    <col min="26" max="26" width="12.21875" style="5" customWidth="1"/>
    <col min="27" max="27" width="10.21875" style="5" customWidth="1"/>
    <col min="28" max="29" width="8.88671875" style="5" customWidth="1"/>
  </cols>
  <sheetData>
    <row r="1" spans="1:29" ht="19.5" customHeight="1" x14ac:dyDescent="0.4">
      <c r="A1" s="136" t="s">
        <v>40</v>
      </c>
      <c r="B1" s="119"/>
      <c r="C1" s="120"/>
      <c r="D1" s="121"/>
      <c r="E1" s="121"/>
      <c r="F1" s="121"/>
      <c r="G1" s="122"/>
      <c r="H1" s="121"/>
      <c r="I1" s="121"/>
      <c r="J1" s="121"/>
      <c r="K1" s="121"/>
      <c r="L1" s="121"/>
      <c r="M1" s="121"/>
      <c r="N1" s="121"/>
      <c r="O1" s="121"/>
      <c r="P1" s="121"/>
      <c r="Q1" s="123"/>
      <c r="R1" s="121"/>
      <c r="S1" s="121"/>
      <c r="T1" s="121"/>
      <c r="U1" s="121"/>
      <c r="V1" s="121"/>
      <c r="W1" s="121"/>
      <c r="X1" s="121"/>
      <c r="Y1" s="121"/>
      <c r="Z1" s="1"/>
    </row>
    <row r="2" spans="1:29" ht="18" customHeight="1" x14ac:dyDescent="0.35">
      <c r="A2" s="118" t="s">
        <v>41</v>
      </c>
      <c r="B2" s="119"/>
      <c r="C2" s="120"/>
      <c r="D2" s="121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1"/>
      <c r="P2" s="121"/>
      <c r="Q2" s="123"/>
      <c r="R2" s="121"/>
      <c r="S2" s="121"/>
      <c r="T2" s="121"/>
      <c r="U2" s="121"/>
      <c r="V2" s="121"/>
      <c r="W2" s="121"/>
      <c r="X2" s="121"/>
      <c r="Y2" s="121"/>
      <c r="Z2" s="2"/>
    </row>
    <row r="3" spans="1:29" x14ac:dyDescent="0.3">
      <c r="C3" s="139" t="s">
        <v>42</v>
      </c>
      <c r="D3" s="125"/>
      <c r="E3" s="94" t="s">
        <v>43</v>
      </c>
      <c r="F3" s="95" t="s">
        <v>44</v>
      </c>
      <c r="G3" s="95" t="s">
        <v>45</v>
      </c>
    </row>
    <row r="4" spans="1:29" ht="16.8" customHeight="1" x14ac:dyDescent="0.3">
      <c r="C4" s="124" t="s">
        <v>46</v>
      </c>
      <c r="D4" s="125"/>
      <c r="E4" s="95">
        <v>5</v>
      </c>
      <c r="F4" s="90" t="s">
        <v>47</v>
      </c>
      <c r="G4" s="12" t="s">
        <v>48</v>
      </c>
    </row>
    <row r="5" spans="1:29" x14ac:dyDescent="0.3">
      <c r="C5" s="124" t="s">
        <v>49</v>
      </c>
      <c r="D5" s="125"/>
      <c r="E5" s="95">
        <v>4</v>
      </c>
      <c r="F5" s="91" t="s">
        <v>50</v>
      </c>
      <c r="G5" s="12" t="s">
        <v>51</v>
      </c>
    </row>
    <row r="6" spans="1:29" x14ac:dyDescent="0.3">
      <c r="C6" s="124" t="s">
        <v>52</v>
      </c>
      <c r="D6" s="125"/>
      <c r="E6" s="95">
        <v>3</v>
      </c>
      <c r="F6" s="92" t="s">
        <v>53</v>
      </c>
      <c r="G6" s="12" t="s">
        <v>54</v>
      </c>
    </row>
    <row r="7" spans="1:29" x14ac:dyDescent="0.3">
      <c r="C7" s="124" t="s">
        <v>55</v>
      </c>
      <c r="D7" s="125"/>
      <c r="E7" s="95">
        <v>0</v>
      </c>
      <c r="F7" s="93" t="s">
        <v>56</v>
      </c>
      <c r="G7" s="12" t="s">
        <v>57</v>
      </c>
    </row>
    <row r="8" spans="1:29" ht="15" customHeight="1" thickBot="1" x14ac:dyDescent="0.35">
      <c r="C8" s="36"/>
      <c r="D8" s="36"/>
      <c r="E8" s="37"/>
    </row>
    <row r="9" spans="1:29" x14ac:dyDescent="0.3">
      <c r="E9" s="128" t="s">
        <v>58</v>
      </c>
      <c r="F9" s="129"/>
      <c r="G9" s="130"/>
      <c r="H9" s="128" t="s">
        <v>59</v>
      </c>
      <c r="I9" s="130"/>
      <c r="J9" s="128" t="s">
        <v>60</v>
      </c>
      <c r="K9" s="129"/>
      <c r="L9" s="130"/>
      <c r="M9" s="137" t="s">
        <v>61</v>
      </c>
      <c r="N9" s="129"/>
      <c r="O9" s="130"/>
      <c r="P9" s="128" t="s">
        <v>62</v>
      </c>
      <c r="Q9" s="129"/>
      <c r="R9" s="129"/>
      <c r="S9" s="130"/>
      <c r="T9" s="128" t="s">
        <v>63</v>
      </c>
      <c r="U9" s="130"/>
      <c r="V9" s="128" t="s">
        <v>64</v>
      </c>
      <c r="W9" s="130"/>
      <c r="X9" s="61" t="s">
        <v>65</v>
      </c>
    </row>
    <row r="10" spans="1:29" x14ac:dyDescent="0.3">
      <c r="E10" s="42">
        <v>1</v>
      </c>
      <c r="F10" s="43">
        <v>2</v>
      </c>
      <c r="G10" s="44">
        <v>3</v>
      </c>
      <c r="H10" s="42">
        <v>4</v>
      </c>
      <c r="I10" s="44">
        <v>5</v>
      </c>
      <c r="J10" s="42">
        <v>6</v>
      </c>
      <c r="K10" s="43">
        <v>7</v>
      </c>
      <c r="L10" s="101">
        <v>8</v>
      </c>
      <c r="M10" s="42">
        <v>9</v>
      </c>
      <c r="N10" s="107">
        <v>10</v>
      </c>
      <c r="O10" s="44">
        <v>11</v>
      </c>
      <c r="P10" s="42">
        <v>12</v>
      </c>
      <c r="Q10" s="43">
        <v>13</v>
      </c>
      <c r="R10" s="43">
        <v>14</v>
      </c>
      <c r="S10" s="44">
        <v>15</v>
      </c>
      <c r="T10" s="42">
        <v>16</v>
      </c>
      <c r="U10" s="44">
        <v>17</v>
      </c>
      <c r="V10" s="42">
        <v>18</v>
      </c>
      <c r="W10" s="44">
        <v>19</v>
      </c>
      <c r="X10" s="42">
        <v>20</v>
      </c>
    </row>
    <row r="11" spans="1:29" s="34" customFormat="1" ht="82.8" customHeight="1" x14ac:dyDescent="0.3">
      <c r="A11" s="126" t="s">
        <v>1</v>
      </c>
      <c r="B11" s="126" t="s">
        <v>66</v>
      </c>
      <c r="C11" s="134" t="s">
        <v>67</v>
      </c>
      <c r="D11" s="131" t="s">
        <v>68</v>
      </c>
      <c r="E11" s="45" t="s">
        <v>69</v>
      </c>
      <c r="F11" s="46" t="s">
        <v>70</v>
      </c>
      <c r="G11" s="47" t="s">
        <v>71</v>
      </c>
      <c r="H11" s="45" t="s">
        <v>72</v>
      </c>
      <c r="I11" s="47" t="s">
        <v>73</v>
      </c>
      <c r="J11" s="45" t="s">
        <v>74</v>
      </c>
      <c r="K11" s="46" t="s">
        <v>75</v>
      </c>
      <c r="L11" s="47" t="s">
        <v>76</v>
      </c>
      <c r="M11" s="102" t="s">
        <v>77</v>
      </c>
      <c r="N11" s="46" t="s">
        <v>78</v>
      </c>
      <c r="O11" s="47" t="s">
        <v>79</v>
      </c>
      <c r="P11" s="69" t="s">
        <v>80</v>
      </c>
      <c r="Q11" s="46" t="s">
        <v>81</v>
      </c>
      <c r="R11" s="46" t="s">
        <v>82</v>
      </c>
      <c r="S11" s="47" t="s">
        <v>83</v>
      </c>
      <c r="T11" s="45" t="s">
        <v>84</v>
      </c>
      <c r="U11" s="47" t="s">
        <v>85</v>
      </c>
      <c r="V11" s="45" t="s">
        <v>86</v>
      </c>
      <c r="W11" s="47" t="s">
        <v>87</v>
      </c>
      <c r="X11" s="62" t="s">
        <v>88</v>
      </c>
      <c r="Y11" s="138" t="s">
        <v>89</v>
      </c>
      <c r="Z11" s="135" t="s">
        <v>90</v>
      </c>
      <c r="AA11" s="132" t="s">
        <v>45</v>
      </c>
      <c r="AB11" s="33"/>
      <c r="AC11" s="33"/>
    </row>
    <row r="12" spans="1:29" s="34" customFormat="1" ht="83.4" customHeight="1" thickBot="1" x14ac:dyDescent="0.35">
      <c r="A12" s="127"/>
      <c r="B12" s="127"/>
      <c r="C12" s="127"/>
      <c r="D12" s="115"/>
      <c r="E12" s="78" t="s">
        <v>91</v>
      </c>
      <c r="F12" s="79" t="s">
        <v>92</v>
      </c>
      <c r="G12" s="80" t="s">
        <v>93</v>
      </c>
      <c r="H12" s="78" t="s">
        <v>94</v>
      </c>
      <c r="I12" s="81" t="s">
        <v>95</v>
      </c>
      <c r="J12" s="104" t="s">
        <v>96</v>
      </c>
      <c r="K12" s="105" t="s">
        <v>97</v>
      </c>
      <c r="L12" s="106" t="s">
        <v>98</v>
      </c>
      <c r="M12" s="103" t="s">
        <v>99</v>
      </c>
      <c r="N12" s="79" t="s">
        <v>100</v>
      </c>
      <c r="O12" s="81" t="s">
        <v>101</v>
      </c>
      <c r="P12" s="82" t="s">
        <v>102</v>
      </c>
      <c r="Q12" s="79" t="s">
        <v>103</v>
      </c>
      <c r="R12" s="79" t="s">
        <v>104</v>
      </c>
      <c r="S12" s="81" t="s">
        <v>105</v>
      </c>
      <c r="T12" s="78" t="s">
        <v>106</v>
      </c>
      <c r="U12" s="81" t="s">
        <v>107</v>
      </c>
      <c r="V12" s="78" t="s">
        <v>108</v>
      </c>
      <c r="W12" s="81" t="s">
        <v>109</v>
      </c>
      <c r="X12" s="75" t="s">
        <v>110</v>
      </c>
      <c r="Y12" s="114"/>
      <c r="Z12" s="133"/>
      <c r="AA12" s="133"/>
      <c r="AB12" s="33"/>
      <c r="AC12" s="33"/>
    </row>
    <row r="13" spans="1:29" s="6" customFormat="1" ht="22.2" customHeight="1" thickBot="1" x14ac:dyDescent="0.35">
      <c r="A13" s="30"/>
      <c r="B13" s="31"/>
      <c r="C13" s="32"/>
      <c r="D13" s="38" t="s">
        <v>43</v>
      </c>
      <c r="E13" s="77" t="s">
        <v>111</v>
      </c>
      <c r="F13" s="89" t="s">
        <v>112</v>
      </c>
      <c r="G13" s="88" t="s">
        <v>111</v>
      </c>
      <c r="H13" s="88" t="s">
        <v>111</v>
      </c>
      <c r="I13" s="88" t="s">
        <v>111</v>
      </c>
      <c r="J13" s="88" t="s">
        <v>111</v>
      </c>
      <c r="K13" s="88" t="s">
        <v>111</v>
      </c>
      <c r="L13" s="88" t="s">
        <v>111</v>
      </c>
      <c r="M13" s="88" t="s">
        <v>111</v>
      </c>
      <c r="N13" s="88" t="s">
        <v>111</v>
      </c>
      <c r="O13" s="88" t="s">
        <v>111</v>
      </c>
      <c r="P13" s="88" t="s">
        <v>111</v>
      </c>
      <c r="Q13" s="88" t="s">
        <v>111</v>
      </c>
      <c r="R13" s="88" t="s">
        <v>111</v>
      </c>
      <c r="S13" s="88" t="s">
        <v>111</v>
      </c>
      <c r="T13" s="88" t="s">
        <v>111</v>
      </c>
      <c r="U13" s="88" t="s">
        <v>111</v>
      </c>
      <c r="V13" s="88" t="s">
        <v>111</v>
      </c>
      <c r="W13" s="88" t="s">
        <v>111</v>
      </c>
      <c r="X13" s="77" t="s">
        <v>111</v>
      </c>
      <c r="Y13" s="117"/>
      <c r="Z13" s="127"/>
      <c r="AA13" s="127"/>
      <c r="AB13" s="3"/>
      <c r="AC13" s="3"/>
    </row>
    <row r="14" spans="1:29" ht="30" customHeight="1" x14ac:dyDescent="0.3">
      <c r="A14" s="9">
        <v>1</v>
      </c>
      <c r="B14" s="11" t="s">
        <v>113</v>
      </c>
      <c r="C14" s="8" t="s">
        <v>114</v>
      </c>
      <c r="D14" s="39" t="s">
        <v>115</v>
      </c>
      <c r="E14" s="83"/>
      <c r="F14" s="84"/>
      <c r="G14" s="85"/>
      <c r="H14" s="96"/>
      <c r="I14" s="85"/>
      <c r="J14" s="83"/>
      <c r="K14" s="86"/>
      <c r="L14" s="87"/>
      <c r="M14" s="83">
        <v>5</v>
      </c>
      <c r="N14" s="86">
        <v>3</v>
      </c>
      <c r="O14" s="87">
        <v>1</v>
      </c>
      <c r="P14" s="83"/>
      <c r="Q14" s="86"/>
      <c r="R14" s="86"/>
      <c r="S14" s="87"/>
      <c r="T14" s="83"/>
      <c r="U14" s="87"/>
      <c r="V14" s="83"/>
      <c r="W14" s="87"/>
      <c r="X14" s="76"/>
      <c r="Y14" s="41">
        <f t="shared" ref="Y14:Y41" si="0">X14+W14+V14+U14+T14+S14+R14+Q14+P14+O14+N14+M14+L14+K14+J14+I14+H14+G14+F14+E14</f>
        <v>9</v>
      </c>
      <c r="Z14" s="13">
        <f t="shared" ref="Z14:Z41" si="1">Y14/100</f>
        <v>0.09</v>
      </c>
      <c r="AA14" s="14" t="str">
        <f t="shared" ref="AA14:AA41" si="2">IF(Z14&gt;=90%,"A",IF(Z14&gt;=80%,"B",IF(Z14&gt;=70%,"C",IF(Z14&gt;=50%,"D",IF(Z14&gt;=0%,"0")))))</f>
        <v>0</v>
      </c>
    </row>
    <row r="15" spans="1:29" ht="30" customHeight="1" x14ac:dyDescent="0.3">
      <c r="A15" s="11">
        <v>2</v>
      </c>
      <c r="B15" s="11" t="s">
        <v>116</v>
      </c>
      <c r="C15" s="8" t="s">
        <v>117</v>
      </c>
      <c r="D15" s="39" t="s">
        <v>118</v>
      </c>
      <c r="E15" s="48"/>
      <c r="F15" s="49"/>
      <c r="G15" s="50"/>
      <c r="H15" s="97"/>
      <c r="I15" s="50"/>
      <c r="J15" s="48"/>
      <c r="K15" s="64"/>
      <c r="L15" s="65"/>
      <c r="M15" s="83">
        <v>5</v>
      </c>
      <c r="N15" s="86">
        <v>3</v>
      </c>
      <c r="O15" s="87">
        <v>1</v>
      </c>
      <c r="P15" s="70"/>
      <c r="Q15" s="64"/>
      <c r="R15" s="64"/>
      <c r="S15" s="65"/>
      <c r="T15" s="48"/>
      <c r="U15" s="65"/>
      <c r="V15" s="48"/>
      <c r="W15" s="65"/>
      <c r="X15" s="73"/>
      <c r="Y15" s="41">
        <f t="shared" si="0"/>
        <v>9</v>
      </c>
      <c r="Z15" s="13">
        <f t="shared" si="1"/>
        <v>0.09</v>
      </c>
      <c r="AA15" s="14" t="str">
        <f t="shared" si="2"/>
        <v>0</v>
      </c>
    </row>
    <row r="16" spans="1:29" ht="30" hidden="1" customHeight="1" x14ac:dyDescent="0.3">
      <c r="A16" s="9">
        <v>3</v>
      </c>
      <c r="B16" s="11" t="s">
        <v>119</v>
      </c>
      <c r="C16" s="8" t="s">
        <v>120</v>
      </c>
      <c r="D16" s="39" t="s">
        <v>121</v>
      </c>
      <c r="E16" s="48"/>
      <c r="F16" s="49"/>
      <c r="G16" s="50"/>
      <c r="H16" s="97"/>
      <c r="I16" s="50"/>
      <c r="J16" s="48"/>
      <c r="K16" s="64"/>
      <c r="L16" s="65"/>
      <c r="M16" s="48"/>
      <c r="N16" s="64"/>
      <c r="O16" s="65"/>
      <c r="P16" s="70"/>
      <c r="Q16" s="64"/>
      <c r="R16" s="64"/>
      <c r="S16" s="65"/>
      <c r="T16" s="48"/>
      <c r="U16" s="65"/>
      <c r="V16" s="48"/>
      <c r="W16" s="65"/>
      <c r="X16" s="73"/>
      <c r="Y16" s="41">
        <f t="shared" si="0"/>
        <v>0</v>
      </c>
      <c r="Z16" s="13">
        <f t="shared" si="1"/>
        <v>0</v>
      </c>
      <c r="AA16" s="14" t="str">
        <f t="shared" si="2"/>
        <v>0</v>
      </c>
    </row>
    <row r="17" spans="1:27" ht="30" hidden="1" customHeight="1" x14ac:dyDescent="0.3">
      <c r="A17" s="11">
        <v>4</v>
      </c>
      <c r="B17" s="11" t="s">
        <v>122</v>
      </c>
      <c r="C17" s="8" t="s">
        <v>123</v>
      </c>
      <c r="D17" s="39" t="s">
        <v>124</v>
      </c>
      <c r="E17" s="48"/>
      <c r="F17" s="49"/>
      <c r="G17" s="50"/>
      <c r="H17" s="97"/>
      <c r="I17" s="50"/>
      <c r="J17" s="48"/>
      <c r="K17" s="64"/>
      <c r="L17" s="65"/>
      <c r="M17" s="48"/>
      <c r="N17" s="64"/>
      <c r="O17" s="65"/>
      <c r="P17" s="70"/>
      <c r="Q17" s="64"/>
      <c r="R17" s="64"/>
      <c r="S17" s="65"/>
      <c r="T17" s="48"/>
      <c r="U17" s="65"/>
      <c r="V17" s="48"/>
      <c r="W17" s="65"/>
      <c r="X17" s="73"/>
      <c r="Y17" s="41">
        <f t="shared" si="0"/>
        <v>0</v>
      </c>
      <c r="Z17" s="13">
        <f t="shared" si="1"/>
        <v>0</v>
      </c>
      <c r="AA17" s="14" t="str">
        <f t="shared" si="2"/>
        <v>0</v>
      </c>
    </row>
    <row r="18" spans="1:27" ht="30" hidden="1" customHeight="1" x14ac:dyDescent="0.3">
      <c r="A18" s="9">
        <v>5</v>
      </c>
      <c r="B18" s="11" t="s">
        <v>125</v>
      </c>
      <c r="C18" s="8" t="s">
        <v>126</v>
      </c>
      <c r="D18" s="39" t="s">
        <v>127</v>
      </c>
      <c r="E18" s="48"/>
      <c r="F18" s="49"/>
      <c r="G18" s="50"/>
      <c r="H18" s="97"/>
      <c r="I18" s="50"/>
      <c r="J18" s="48"/>
      <c r="K18" s="64"/>
      <c r="L18" s="65"/>
      <c r="M18" s="48"/>
      <c r="N18" s="64"/>
      <c r="O18" s="65"/>
      <c r="P18" s="70"/>
      <c r="Q18" s="64"/>
      <c r="R18" s="64"/>
      <c r="S18" s="65"/>
      <c r="T18" s="48"/>
      <c r="U18" s="65"/>
      <c r="V18" s="48"/>
      <c r="W18" s="65"/>
      <c r="X18" s="73"/>
      <c r="Y18" s="41">
        <f t="shared" si="0"/>
        <v>0</v>
      </c>
      <c r="Z18" s="13">
        <f t="shared" si="1"/>
        <v>0</v>
      </c>
      <c r="AA18" s="14" t="str">
        <f t="shared" si="2"/>
        <v>0</v>
      </c>
    </row>
    <row r="19" spans="1:27" ht="30" hidden="1" customHeight="1" x14ac:dyDescent="0.3">
      <c r="A19" s="11">
        <v>6</v>
      </c>
      <c r="B19" s="11" t="s">
        <v>128</v>
      </c>
      <c r="C19" s="8" t="s">
        <v>129</v>
      </c>
      <c r="D19" s="39" t="s">
        <v>127</v>
      </c>
      <c r="E19" s="48"/>
      <c r="F19" s="49"/>
      <c r="G19" s="50"/>
      <c r="H19" s="97"/>
      <c r="I19" s="50"/>
      <c r="J19" s="48"/>
      <c r="K19" s="64"/>
      <c r="L19" s="65"/>
      <c r="M19" s="48"/>
      <c r="N19" s="64"/>
      <c r="O19" s="65"/>
      <c r="P19" s="70"/>
      <c r="Q19" s="64"/>
      <c r="R19" s="64"/>
      <c r="S19" s="65"/>
      <c r="T19" s="48"/>
      <c r="U19" s="65"/>
      <c r="V19" s="48"/>
      <c r="W19" s="65"/>
      <c r="X19" s="73"/>
      <c r="Y19" s="41">
        <f t="shared" si="0"/>
        <v>0</v>
      </c>
      <c r="Z19" s="13">
        <f t="shared" si="1"/>
        <v>0</v>
      </c>
      <c r="AA19" s="14" t="str">
        <f t="shared" si="2"/>
        <v>0</v>
      </c>
    </row>
    <row r="20" spans="1:27" ht="30" customHeight="1" x14ac:dyDescent="0.3">
      <c r="A20" s="9">
        <v>7</v>
      </c>
      <c r="B20" s="11" t="s">
        <v>130</v>
      </c>
      <c r="C20" s="8" t="s">
        <v>131</v>
      </c>
      <c r="D20" s="39" t="s">
        <v>115</v>
      </c>
      <c r="E20" s="48"/>
      <c r="F20" s="51"/>
      <c r="G20" s="52"/>
      <c r="H20" s="98"/>
      <c r="I20" s="52"/>
      <c r="J20" s="48"/>
      <c r="K20" s="64"/>
      <c r="L20" s="65"/>
      <c r="M20" s="83">
        <v>5</v>
      </c>
      <c r="N20" s="86">
        <v>3</v>
      </c>
      <c r="O20" s="87">
        <v>1</v>
      </c>
      <c r="P20" s="70"/>
      <c r="Q20" s="64"/>
      <c r="R20" s="64"/>
      <c r="S20" s="65"/>
      <c r="T20" s="48"/>
      <c r="U20" s="65"/>
      <c r="V20" s="48"/>
      <c r="W20" s="65"/>
      <c r="X20" s="73"/>
      <c r="Y20" s="41">
        <f t="shared" si="0"/>
        <v>9</v>
      </c>
      <c r="Z20" s="13">
        <f t="shared" si="1"/>
        <v>0.09</v>
      </c>
      <c r="AA20" s="14" t="str">
        <f t="shared" si="2"/>
        <v>0</v>
      </c>
    </row>
    <row r="21" spans="1:27" ht="30" hidden="1" customHeight="1" x14ac:dyDescent="0.3">
      <c r="A21" s="11">
        <v>8</v>
      </c>
      <c r="B21" s="11" t="s">
        <v>132</v>
      </c>
      <c r="C21" s="8" t="s">
        <v>133</v>
      </c>
      <c r="D21" s="39" t="s">
        <v>134</v>
      </c>
      <c r="E21" s="48"/>
      <c r="F21" s="51"/>
      <c r="G21" s="52"/>
      <c r="H21" s="98"/>
      <c r="I21" s="52"/>
      <c r="J21" s="48"/>
      <c r="K21" s="64"/>
      <c r="L21" s="65"/>
      <c r="M21" s="48"/>
      <c r="N21" s="64"/>
      <c r="O21" s="65"/>
      <c r="P21" s="70"/>
      <c r="Q21" s="64"/>
      <c r="R21" s="64"/>
      <c r="S21" s="65"/>
      <c r="T21" s="48"/>
      <c r="U21" s="65"/>
      <c r="V21" s="48"/>
      <c r="W21" s="65"/>
      <c r="X21" s="73"/>
      <c r="Y21" s="41">
        <f t="shared" si="0"/>
        <v>0</v>
      </c>
      <c r="Z21" s="13">
        <f t="shared" si="1"/>
        <v>0</v>
      </c>
      <c r="AA21" s="14" t="str">
        <f t="shared" si="2"/>
        <v>0</v>
      </c>
    </row>
    <row r="22" spans="1:27" ht="30" customHeight="1" x14ac:dyDescent="0.3">
      <c r="A22" s="9">
        <v>9</v>
      </c>
      <c r="B22" s="11" t="s">
        <v>135</v>
      </c>
      <c r="C22" s="8" t="s">
        <v>136</v>
      </c>
      <c r="D22" s="39" t="s">
        <v>118</v>
      </c>
      <c r="E22" s="48"/>
      <c r="F22" s="51"/>
      <c r="G22" s="52"/>
      <c r="H22" s="98"/>
      <c r="I22" s="52"/>
      <c r="J22" s="48"/>
      <c r="K22" s="64"/>
      <c r="L22" s="65"/>
      <c r="M22" s="83">
        <v>5</v>
      </c>
      <c r="N22" s="86">
        <v>3</v>
      </c>
      <c r="O22" s="87">
        <v>1</v>
      </c>
      <c r="P22" s="70"/>
      <c r="Q22" s="64"/>
      <c r="R22" s="64"/>
      <c r="S22" s="65"/>
      <c r="T22" s="48"/>
      <c r="U22" s="65"/>
      <c r="V22" s="48"/>
      <c r="W22" s="65"/>
      <c r="X22" s="73"/>
      <c r="Y22" s="41">
        <f t="shared" si="0"/>
        <v>9</v>
      </c>
      <c r="Z22" s="13">
        <f t="shared" si="1"/>
        <v>0.09</v>
      </c>
      <c r="AA22" s="14" t="str">
        <f t="shared" si="2"/>
        <v>0</v>
      </c>
    </row>
    <row r="23" spans="1:27" ht="30" hidden="1" customHeight="1" x14ac:dyDescent="0.3">
      <c r="A23" s="11">
        <v>10</v>
      </c>
      <c r="B23" s="11" t="s">
        <v>137</v>
      </c>
      <c r="C23" s="8" t="s">
        <v>138</v>
      </c>
      <c r="D23" s="39" t="s">
        <v>127</v>
      </c>
      <c r="E23" s="48"/>
      <c r="F23" s="49"/>
      <c r="G23" s="50"/>
      <c r="H23" s="97"/>
      <c r="I23" s="50"/>
      <c r="J23" s="48"/>
      <c r="K23" s="64"/>
      <c r="L23" s="65"/>
      <c r="M23" s="48"/>
      <c r="N23" s="64"/>
      <c r="O23" s="65"/>
      <c r="P23" s="70"/>
      <c r="Q23" s="64"/>
      <c r="R23" s="64"/>
      <c r="S23" s="65"/>
      <c r="T23" s="48"/>
      <c r="U23" s="65"/>
      <c r="V23" s="48"/>
      <c r="W23" s="65"/>
      <c r="X23" s="73"/>
      <c r="Y23" s="41">
        <f t="shared" si="0"/>
        <v>0</v>
      </c>
      <c r="Z23" s="13">
        <f t="shared" si="1"/>
        <v>0</v>
      </c>
      <c r="AA23" s="14" t="str">
        <f t="shared" si="2"/>
        <v>0</v>
      </c>
    </row>
    <row r="24" spans="1:27" ht="30" hidden="1" customHeight="1" x14ac:dyDescent="0.3">
      <c r="A24" s="9">
        <v>11</v>
      </c>
      <c r="B24" s="11" t="s">
        <v>139</v>
      </c>
      <c r="C24" s="8" t="s">
        <v>140</v>
      </c>
      <c r="D24" s="39" t="s">
        <v>127</v>
      </c>
      <c r="E24" s="48"/>
      <c r="F24" s="49"/>
      <c r="G24" s="50"/>
      <c r="H24" s="97"/>
      <c r="I24" s="50"/>
      <c r="J24" s="48"/>
      <c r="K24" s="64"/>
      <c r="L24" s="65"/>
      <c r="M24" s="48"/>
      <c r="N24" s="64"/>
      <c r="O24" s="65"/>
      <c r="P24" s="70"/>
      <c r="Q24" s="64"/>
      <c r="R24" s="64"/>
      <c r="S24" s="65"/>
      <c r="T24" s="48"/>
      <c r="U24" s="65"/>
      <c r="V24" s="48"/>
      <c r="W24" s="65"/>
      <c r="X24" s="73"/>
      <c r="Y24" s="41">
        <f t="shared" si="0"/>
        <v>0</v>
      </c>
      <c r="Z24" s="13">
        <f t="shared" si="1"/>
        <v>0</v>
      </c>
      <c r="AA24" s="14" t="str">
        <f t="shared" si="2"/>
        <v>0</v>
      </c>
    </row>
    <row r="25" spans="1:27" ht="30" hidden="1" customHeight="1" x14ac:dyDescent="0.3">
      <c r="A25" s="11">
        <v>12</v>
      </c>
      <c r="B25" s="11" t="s">
        <v>141</v>
      </c>
      <c r="C25" s="8" t="s">
        <v>142</v>
      </c>
      <c r="D25" s="39" t="s">
        <v>121</v>
      </c>
      <c r="E25" s="48"/>
      <c r="F25" s="49"/>
      <c r="G25" s="50"/>
      <c r="H25" s="97"/>
      <c r="I25" s="50"/>
      <c r="J25" s="48"/>
      <c r="K25" s="64"/>
      <c r="L25" s="65"/>
      <c r="M25" s="48"/>
      <c r="N25" s="64"/>
      <c r="O25" s="65"/>
      <c r="P25" s="70"/>
      <c r="Q25" s="64"/>
      <c r="R25" s="64"/>
      <c r="S25" s="65"/>
      <c r="T25" s="48"/>
      <c r="U25" s="65"/>
      <c r="V25" s="48"/>
      <c r="W25" s="65"/>
      <c r="X25" s="73"/>
      <c r="Y25" s="41">
        <f t="shared" si="0"/>
        <v>0</v>
      </c>
      <c r="Z25" s="13">
        <f t="shared" si="1"/>
        <v>0</v>
      </c>
      <c r="AA25" s="14" t="str">
        <f t="shared" si="2"/>
        <v>0</v>
      </c>
    </row>
    <row r="26" spans="1:27" ht="30" customHeight="1" x14ac:dyDescent="0.3">
      <c r="A26" s="9">
        <v>13</v>
      </c>
      <c r="B26" s="11" t="s">
        <v>143</v>
      </c>
      <c r="C26" s="8" t="s">
        <v>144</v>
      </c>
      <c r="D26" s="39" t="s">
        <v>115</v>
      </c>
      <c r="E26" s="48"/>
      <c r="F26" s="51"/>
      <c r="G26" s="52"/>
      <c r="H26" s="98"/>
      <c r="I26" s="52"/>
      <c r="J26" s="48"/>
      <c r="K26" s="64"/>
      <c r="L26" s="65"/>
      <c r="M26" s="83">
        <v>5</v>
      </c>
      <c r="N26" s="86">
        <v>3</v>
      </c>
      <c r="O26" s="87">
        <v>1</v>
      </c>
      <c r="P26" s="70"/>
      <c r="Q26" s="64"/>
      <c r="R26" s="64"/>
      <c r="S26" s="65"/>
      <c r="T26" s="48"/>
      <c r="U26" s="65"/>
      <c r="V26" s="48"/>
      <c r="W26" s="65"/>
      <c r="X26" s="73"/>
      <c r="Y26" s="41">
        <f t="shared" si="0"/>
        <v>9</v>
      </c>
      <c r="Z26" s="13">
        <f t="shared" si="1"/>
        <v>0.09</v>
      </c>
      <c r="AA26" s="14" t="str">
        <f t="shared" si="2"/>
        <v>0</v>
      </c>
    </row>
    <row r="27" spans="1:27" ht="30" hidden="1" customHeight="1" x14ac:dyDescent="0.3">
      <c r="A27" s="11">
        <v>14</v>
      </c>
      <c r="B27" s="11" t="s">
        <v>145</v>
      </c>
      <c r="C27" s="8" t="s">
        <v>146</v>
      </c>
      <c r="D27" s="39" t="s">
        <v>121</v>
      </c>
      <c r="E27" s="48"/>
      <c r="F27" s="51"/>
      <c r="G27" s="52"/>
      <c r="H27" s="98"/>
      <c r="I27" s="52"/>
      <c r="J27" s="48"/>
      <c r="K27" s="64"/>
      <c r="L27" s="65"/>
      <c r="M27" s="48"/>
      <c r="N27" s="64"/>
      <c r="O27" s="65"/>
      <c r="P27" s="70"/>
      <c r="Q27" s="64"/>
      <c r="R27" s="64"/>
      <c r="S27" s="65"/>
      <c r="T27" s="48"/>
      <c r="U27" s="65"/>
      <c r="V27" s="48"/>
      <c r="W27" s="65"/>
      <c r="X27" s="73"/>
      <c r="Y27" s="41">
        <f t="shared" si="0"/>
        <v>0</v>
      </c>
      <c r="Z27" s="13">
        <f t="shared" si="1"/>
        <v>0</v>
      </c>
      <c r="AA27" s="14" t="str">
        <f t="shared" si="2"/>
        <v>0</v>
      </c>
    </row>
    <row r="28" spans="1:27" ht="30" hidden="1" customHeight="1" x14ac:dyDescent="0.3">
      <c r="A28" s="9">
        <v>15</v>
      </c>
      <c r="B28" s="11" t="s">
        <v>147</v>
      </c>
      <c r="C28" s="8" t="s">
        <v>148</v>
      </c>
      <c r="D28" s="39" t="s">
        <v>124</v>
      </c>
      <c r="E28" s="48"/>
      <c r="F28" s="51"/>
      <c r="G28" s="52"/>
      <c r="H28" s="98"/>
      <c r="I28" s="52"/>
      <c r="J28" s="48"/>
      <c r="K28" s="64"/>
      <c r="L28" s="65"/>
      <c r="M28" s="48"/>
      <c r="N28" s="64"/>
      <c r="O28" s="65"/>
      <c r="P28" s="70"/>
      <c r="Q28" s="64"/>
      <c r="R28" s="64"/>
      <c r="S28" s="65"/>
      <c r="T28" s="48"/>
      <c r="U28" s="65"/>
      <c r="V28" s="48"/>
      <c r="W28" s="65"/>
      <c r="X28" s="73"/>
      <c r="Y28" s="41">
        <f t="shared" si="0"/>
        <v>0</v>
      </c>
      <c r="Z28" s="13">
        <f t="shared" si="1"/>
        <v>0</v>
      </c>
      <c r="AA28" s="14" t="str">
        <f t="shared" si="2"/>
        <v>0</v>
      </c>
    </row>
    <row r="29" spans="1:27" ht="30" customHeight="1" x14ac:dyDescent="0.3">
      <c r="A29" s="11">
        <v>16</v>
      </c>
      <c r="B29" s="11" t="s">
        <v>149</v>
      </c>
      <c r="C29" s="8" t="s">
        <v>150</v>
      </c>
      <c r="D29" s="39" t="s">
        <v>121</v>
      </c>
      <c r="E29" s="48"/>
      <c r="F29" s="51"/>
      <c r="G29" s="52"/>
      <c r="H29" s="98"/>
      <c r="I29" s="52"/>
      <c r="J29" s="48"/>
      <c r="K29" s="64"/>
      <c r="L29" s="65"/>
      <c r="M29" s="83">
        <v>5</v>
      </c>
      <c r="N29" s="86">
        <v>3</v>
      </c>
      <c r="O29" s="87">
        <v>1</v>
      </c>
      <c r="P29" s="70"/>
      <c r="Q29" s="64"/>
      <c r="R29" s="64"/>
      <c r="S29" s="65"/>
      <c r="T29" s="48"/>
      <c r="U29" s="65"/>
      <c r="V29" s="48"/>
      <c r="W29" s="65"/>
      <c r="X29" s="73"/>
      <c r="Y29" s="41">
        <f t="shared" si="0"/>
        <v>9</v>
      </c>
      <c r="Z29" s="13">
        <f t="shared" si="1"/>
        <v>0.09</v>
      </c>
      <c r="AA29" s="14" t="str">
        <f t="shared" si="2"/>
        <v>0</v>
      </c>
    </row>
    <row r="30" spans="1:27" ht="30" hidden="1" customHeight="1" x14ac:dyDescent="0.3">
      <c r="A30" s="9">
        <v>17</v>
      </c>
      <c r="B30" s="11" t="s">
        <v>151</v>
      </c>
      <c r="C30" s="8" t="s">
        <v>152</v>
      </c>
      <c r="D30" s="39" t="s">
        <v>127</v>
      </c>
      <c r="E30" s="53"/>
      <c r="F30" s="51"/>
      <c r="G30" s="52"/>
      <c r="H30" s="98"/>
      <c r="I30" s="52"/>
      <c r="J30" s="53"/>
      <c r="K30" s="66"/>
      <c r="L30" s="67"/>
      <c r="M30" s="53"/>
      <c r="N30" s="66"/>
      <c r="O30" s="67"/>
      <c r="P30" s="71"/>
      <c r="Q30" s="66"/>
      <c r="R30" s="66"/>
      <c r="S30" s="67"/>
      <c r="T30" s="53"/>
      <c r="U30" s="67"/>
      <c r="V30" s="53"/>
      <c r="W30" s="67"/>
      <c r="X30" s="74"/>
      <c r="Y30" s="41">
        <f t="shared" si="0"/>
        <v>0</v>
      </c>
      <c r="Z30" s="13">
        <f t="shared" si="1"/>
        <v>0</v>
      </c>
      <c r="AA30" s="14" t="str">
        <f t="shared" si="2"/>
        <v>0</v>
      </c>
    </row>
    <row r="31" spans="1:27" ht="30" customHeight="1" x14ac:dyDescent="0.3">
      <c r="A31" s="11">
        <v>18</v>
      </c>
      <c r="B31" s="11" t="s">
        <v>153</v>
      </c>
      <c r="C31" s="8" t="s">
        <v>154</v>
      </c>
      <c r="D31" s="39" t="s">
        <v>121</v>
      </c>
      <c r="E31" s="53"/>
      <c r="F31" s="51"/>
      <c r="G31" s="52"/>
      <c r="H31" s="98"/>
      <c r="I31" s="52"/>
      <c r="J31" s="53"/>
      <c r="K31" s="66"/>
      <c r="L31" s="67"/>
      <c r="M31" s="83">
        <v>5</v>
      </c>
      <c r="N31" s="86">
        <v>3</v>
      </c>
      <c r="O31" s="87">
        <v>1</v>
      </c>
      <c r="P31" s="71"/>
      <c r="Q31" s="66"/>
      <c r="R31" s="66"/>
      <c r="S31" s="67"/>
      <c r="T31" s="53"/>
      <c r="U31" s="67"/>
      <c r="V31" s="53"/>
      <c r="W31" s="67"/>
      <c r="X31" s="74"/>
      <c r="Y31" s="41">
        <f t="shared" si="0"/>
        <v>9</v>
      </c>
      <c r="Z31" s="13">
        <f t="shared" si="1"/>
        <v>0.09</v>
      </c>
      <c r="AA31" s="14" t="str">
        <f t="shared" si="2"/>
        <v>0</v>
      </c>
    </row>
    <row r="32" spans="1:27" ht="30" hidden="1" customHeight="1" x14ac:dyDescent="0.3">
      <c r="A32" s="9">
        <v>19</v>
      </c>
      <c r="B32" s="11" t="s">
        <v>155</v>
      </c>
      <c r="C32" s="8" t="s">
        <v>156</v>
      </c>
      <c r="D32" s="39" t="s">
        <v>124</v>
      </c>
      <c r="E32" s="53"/>
      <c r="F32" s="54"/>
      <c r="G32" s="55"/>
      <c r="H32" s="99"/>
      <c r="I32" s="55"/>
      <c r="J32" s="53"/>
      <c r="K32" s="66"/>
      <c r="L32" s="67"/>
      <c r="M32" s="53"/>
      <c r="N32" s="66"/>
      <c r="O32" s="67"/>
      <c r="P32" s="71"/>
      <c r="Q32" s="66"/>
      <c r="R32" s="66"/>
      <c r="S32" s="67"/>
      <c r="T32" s="53"/>
      <c r="U32" s="67"/>
      <c r="V32" s="53"/>
      <c r="W32" s="67"/>
      <c r="X32" s="74"/>
      <c r="Y32" s="41">
        <f t="shared" si="0"/>
        <v>0</v>
      </c>
      <c r="Z32" s="13">
        <f t="shared" si="1"/>
        <v>0</v>
      </c>
      <c r="AA32" s="14" t="str">
        <f t="shared" si="2"/>
        <v>0</v>
      </c>
    </row>
    <row r="33" spans="1:28" ht="30" hidden="1" customHeight="1" x14ac:dyDescent="0.3">
      <c r="A33" s="11">
        <v>20</v>
      </c>
      <c r="B33" s="11" t="s">
        <v>157</v>
      </c>
      <c r="C33" s="8" t="s">
        <v>158</v>
      </c>
      <c r="D33" s="39" t="s">
        <v>124</v>
      </c>
      <c r="E33" s="53"/>
      <c r="F33" s="54"/>
      <c r="G33" s="55"/>
      <c r="H33" s="99"/>
      <c r="I33" s="55"/>
      <c r="J33" s="53"/>
      <c r="K33" s="66"/>
      <c r="L33" s="67"/>
      <c r="M33" s="53"/>
      <c r="N33" s="66"/>
      <c r="O33" s="67"/>
      <c r="P33" s="71"/>
      <c r="Q33" s="66"/>
      <c r="R33" s="66"/>
      <c r="S33" s="67"/>
      <c r="T33" s="53"/>
      <c r="U33" s="67"/>
      <c r="V33" s="53"/>
      <c r="W33" s="67"/>
      <c r="X33" s="74"/>
      <c r="Y33" s="41">
        <f t="shared" si="0"/>
        <v>0</v>
      </c>
      <c r="Z33" s="13">
        <f t="shared" si="1"/>
        <v>0</v>
      </c>
      <c r="AA33" s="14" t="str">
        <f t="shared" si="2"/>
        <v>0</v>
      </c>
    </row>
    <row r="34" spans="1:28" ht="30" hidden="1" customHeight="1" x14ac:dyDescent="0.3">
      <c r="A34" s="9">
        <v>21</v>
      </c>
      <c r="B34" s="11" t="s">
        <v>159</v>
      </c>
      <c r="C34" s="8" t="s">
        <v>160</v>
      </c>
      <c r="D34" s="39" t="s">
        <v>161</v>
      </c>
      <c r="E34" s="53"/>
      <c r="F34" s="51"/>
      <c r="G34" s="52"/>
      <c r="H34" s="98"/>
      <c r="I34" s="52"/>
      <c r="J34" s="53"/>
      <c r="K34" s="66"/>
      <c r="L34" s="67"/>
      <c r="M34" s="53"/>
      <c r="N34" s="66"/>
      <c r="O34" s="67"/>
      <c r="P34" s="71"/>
      <c r="Q34" s="66"/>
      <c r="R34" s="66"/>
      <c r="S34" s="67"/>
      <c r="T34" s="53"/>
      <c r="U34" s="67"/>
      <c r="V34" s="53"/>
      <c r="W34" s="67"/>
      <c r="X34" s="74"/>
      <c r="Y34" s="41">
        <f t="shared" si="0"/>
        <v>0</v>
      </c>
      <c r="Z34" s="13">
        <f t="shared" si="1"/>
        <v>0</v>
      </c>
      <c r="AA34" s="14" t="str">
        <f t="shared" si="2"/>
        <v>0</v>
      </c>
    </row>
    <row r="35" spans="1:28" ht="30" customHeight="1" x14ac:dyDescent="0.3">
      <c r="A35" s="11">
        <v>22</v>
      </c>
      <c r="B35" s="11" t="s">
        <v>162</v>
      </c>
      <c r="C35" s="8" t="s">
        <v>163</v>
      </c>
      <c r="D35" s="39" t="s">
        <v>121</v>
      </c>
      <c r="E35" s="53"/>
      <c r="F35" s="56"/>
      <c r="G35" s="57"/>
      <c r="H35" s="100"/>
      <c r="I35" s="57"/>
      <c r="J35" s="53"/>
      <c r="K35" s="66"/>
      <c r="L35" s="67"/>
      <c r="M35" s="83">
        <v>5</v>
      </c>
      <c r="N35" s="86">
        <v>3</v>
      </c>
      <c r="O35" s="87">
        <v>1</v>
      </c>
      <c r="P35" s="71"/>
      <c r="Q35" s="66"/>
      <c r="R35" s="66"/>
      <c r="S35" s="67"/>
      <c r="T35" s="53"/>
      <c r="U35" s="67"/>
      <c r="V35" s="53"/>
      <c r="W35" s="67"/>
      <c r="X35" s="74"/>
      <c r="Y35" s="41">
        <f t="shared" si="0"/>
        <v>9</v>
      </c>
      <c r="Z35" s="13">
        <f t="shared" si="1"/>
        <v>0.09</v>
      </c>
      <c r="AA35" s="14" t="str">
        <f t="shared" si="2"/>
        <v>0</v>
      </c>
    </row>
    <row r="36" spans="1:28" ht="30" customHeight="1" x14ac:dyDescent="0.3">
      <c r="A36" s="9">
        <v>23</v>
      </c>
      <c r="B36" s="11" t="s">
        <v>164</v>
      </c>
      <c r="C36" s="8" t="s">
        <v>165</v>
      </c>
      <c r="D36" s="39" t="s">
        <v>118</v>
      </c>
      <c r="E36" s="53"/>
      <c r="F36" s="51"/>
      <c r="G36" s="52"/>
      <c r="H36" s="98"/>
      <c r="I36" s="52"/>
      <c r="J36" s="53"/>
      <c r="K36" s="66"/>
      <c r="L36" s="67"/>
      <c r="M36" s="83">
        <v>5</v>
      </c>
      <c r="N36" s="86">
        <v>3</v>
      </c>
      <c r="O36" s="87">
        <v>1</v>
      </c>
      <c r="P36" s="71"/>
      <c r="Q36" s="66"/>
      <c r="R36" s="66"/>
      <c r="S36" s="67"/>
      <c r="T36" s="53"/>
      <c r="U36" s="67"/>
      <c r="V36" s="53"/>
      <c r="W36" s="67"/>
      <c r="X36" s="74"/>
      <c r="Y36" s="41">
        <f t="shared" si="0"/>
        <v>9</v>
      </c>
      <c r="Z36" s="13">
        <f t="shared" si="1"/>
        <v>0.09</v>
      </c>
      <c r="AA36" s="14" t="str">
        <f t="shared" si="2"/>
        <v>0</v>
      </c>
    </row>
    <row r="37" spans="1:28" ht="30" hidden="1" customHeight="1" x14ac:dyDescent="0.3">
      <c r="A37" s="11">
        <v>24</v>
      </c>
      <c r="B37" s="11" t="s">
        <v>166</v>
      </c>
      <c r="C37" s="8" t="s">
        <v>167</v>
      </c>
      <c r="D37" s="39" t="s">
        <v>124</v>
      </c>
      <c r="E37" s="53"/>
      <c r="F37" s="56"/>
      <c r="G37" s="57"/>
      <c r="H37" s="100"/>
      <c r="I37" s="57"/>
      <c r="J37" s="53"/>
      <c r="K37" s="66"/>
      <c r="L37" s="67"/>
      <c r="M37" s="53"/>
      <c r="N37" s="66"/>
      <c r="O37" s="67"/>
      <c r="P37" s="71"/>
      <c r="Q37" s="66"/>
      <c r="R37" s="66"/>
      <c r="S37" s="67"/>
      <c r="T37" s="53"/>
      <c r="U37" s="67"/>
      <c r="V37" s="53"/>
      <c r="W37" s="67"/>
      <c r="X37" s="74"/>
      <c r="Y37" s="41">
        <f t="shared" si="0"/>
        <v>0</v>
      </c>
      <c r="Z37" s="13">
        <f t="shared" si="1"/>
        <v>0</v>
      </c>
      <c r="AA37" s="14" t="str">
        <f t="shared" si="2"/>
        <v>0</v>
      </c>
    </row>
    <row r="38" spans="1:28" ht="30" customHeight="1" x14ac:dyDescent="0.3">
      <c r="A38" s="9">
        <v>25</v>
      </c>
      <c r="B38" s="9" t="s">
        <v>168</v>
      </c>
      <c r="C38" s="7" t="s">
        <v>169</v>
      </c>
      <c r="D38" s="40" t="s">
        <v>127</v>
      </c>
      <c r="E38" s="53"/>
      <c r="F38" s="51"/>
      <c r="G38" s="52"/>
      <c r="H38" s="98"/>
      <c r="I38" s="52"/>
      <c r="J38" s="53"/>
      <c r="K38" s="66"/>
      <c r="L38" s="67"/>
      <c r="M38" s="83">
        <v>5</v>
      </c>
      <c r="N38" s="86">
        <v>3</v>
      </c>
      <c r="O38" s="87">
        <v>1</v>
      </c>
      <c r="P38" s="71"/>
      <c r="Q38" s="66"/>
      <c r="R38" s="66"/>
      <c r="S38" s="67"/>
      <c r="T38" s="53"/>
      <c r="U38" s="67"/>
      <c r="V38" s="53"/>
      <c r="W38" s="67"/>
      <c r="X38" s="74"/>
      <c r="Y38" s="41">
        <f t="shared" si="0"/>
        <v>9</v>
      </c>
      <c r="Z38" s="13">
        <f t="shared" si="1"/>
        <v>0.09</v>
      </c>
      <c r="AA38" s="14" t="str">
        <f t="shared" si="2"/>
        <v>0</v>
      </c>
    </row>
    <row r="39" spans="1:28" ht="30" customHeight="1" x14ac:dyDescent="0.3">
      <c r="A39" s="11">
        <v>26</v>
      </c>
      <c r="B39" s="9" t="s">
        <v>170</v>
      </c>
      <c r="C39" s="7" t="s">
        <v>171</v>
      </c>
      <c r="D39" s="40" t="s">
        <v>121</v>
      </c>
      <c r="E39" s="53"/>
      <c r="F39" s="51"/>
      <c r="G39" s="52"/>
      <c r="H39" s="98"/>
      <c r="I39" s="52"/>
      <c r="J39" s="53"/>
      <c r="K39" s="66"/>
      <c r="L39" s="67"/>
      <c r="M39" s="83">
        <v>5</v>
      </c>
      <c r="N39" s="86">
        <v>3</v>
      </c>
      <c r="O39" s="87">
        <v>1</v>
      </c>
      <c r="P39" s="71"/>
      <c r="Q39" s="66"/>
      <c r="R39" s="66"/>
      <c r="S39" s="67"/>
      <c r="T39" s="53"/>
      <c r="U39" s="67"/>
      <c r="V39" s="53"/>
      <c r="W39" s="67"/>
      <c r="X39" s="74"/>
      <c r="Y39" s="41">
        <f t="shared" si="0"/>
        <v>9</v>
      </c>
      <c r="Z39" s="13">
        <f t="shared" si="1"/>
        <v>0.09</v>
      </c>
      <c r="AA39" s="14" t="str">
        <f t="shared" si="2"/>
        <v>0</v>
      </c>
    </row>
    <row r="40" spans="1:28" ht="30" customHeight="1" x14ac:dyDescent="0.3">
      <c r="A40" s="9">
        <v>27</v>
      </c>
      <c r="B40" s="9" t="s">
        <v>172</v>
      </c>
      <c r="C40" s="7" t="s">
        <v>173</v>
      </c>
      <c r="D40" s="40" t="s">
        <v>174</v>
      </c>
      <c r="E40" s="53"/>
      <c r="F40" s="51"/>
      <c r="G40" s="52"/>
      <c r="H40" s="98"/>
      <c r="I40" s="52"/>
      <c r="J40" s="53"/>
      <c r="K40" s="66"/>
      <c r="L40" s="67"/>
      <c r="M40" s="83">
        <v>5</v>
      </c>
      <c r="N40" s="86">
        <v>3</v>
      </c>
      <c r="O40" s="87">
        <v>1</v>
      </c>
      <c r="P40" s="71"/>
      <c r="Q40" s="66"/>
      <c r="R40" s="66"/>
      <c r="S40" s="67"/>
      <c r="T40" s="53"/>
      <c r="U40" s="67"/>
      <c r="V40" s="53"/>
      <c r="W40" s="67"/>
      <c r="X40" s="74"/>
      <c r="Y40" s="41">
        <f t="shared" si="0"/>
        <v>9</v>
      </c>
      <c r="Z40" s="13">
        <f t="shared" si="1"/>
        <v>0.09</v>
      </c>
      <c r="AA40" s="14" t="str">
        <f t="shared" si="2"/>
        <v>0</v>
      </c>
    </row>
    <row r="41" spans="1:28" s="16" customFormat="1" ht="28.8" customHeight="1" thickBot="1" x14ac:dyDescent="0.35">
      <c r="A41" s="11">
        <v>28</v>
      </c>
      <c r="B41" s="9" t="s">
        <v>164</v>
      </c>
      <c r="C41" s="7" t="s">
        <v>175</v>
      </c>
      <c r="D41" s="40" t="s">
        <v>174</v>
      </c>
      <c r="E41" s="108"/>
      <c r="F41" s="59"/>
      <c r="G41" s="60"/>
      <c r="H41" s="58"/>
      <c r="I41" s="60"/>
      <c r="J41" s="58"/>
      <c r="K41" s="68"/>
      <c r="L41" s="60"/>
      <c r="M41" s="83">
        <v>5</v>
      </c>
      <c r="N41" s="86">
        <v>3</v>
      </c>
      <c r="O41" s="87">
        <v>1</v>
      </c>
      <c r="P41" s="72"/>
      <c r="Q41" s="68"/>
      <c r="R41" s="68"/>
      <c r="S41" s="60"/>
      <c r="T41" s="58"/>
      <c r="U41" s="60"/>
      <c r="V41" s="58"/>
      <c r="W41" s="60"/>
      <c r="X41" s="63"/>
      <c r="Y41" s="41">
        <f t="shared" si="0"/>
        <v>9</v>
      </c>
      <c r="Z41" s="13">
        <f t="shared" si="1"/>
        <v>0.09</v>
      </c>
      <c r="AA41" s="14" t="str">
        <f t="shared" si="2"/>
        <v>0</v>
      </c>
      <c r="AB41" s="5"/>
    </row>
  </sheetData>
  <autoFilter ref="A13:AC41" xr:uid="{00000000-0009-0000-0000-000001000000}">
    <filterColumn colId="4">
      <customFilters>
        <customFilter operator="notEqual" val=" "/>
      </customFilters>
    </filterColumn>
  </autoFilter>
  <mergeCells count="21">
    <mergeCell ref="A1:Y1"/>
    <mergeCell ref="C7:D7"/>
    <mergeCell ref="M9:O9"/>
    <mergeCell ref="Y11:Y13"/>
    <mergeCell ref="J9:L9"/>
    <mergeCell ref="C3:D3"/>
    <mergeCell ref="A11:A12"/>
    <mergeCell ref="AA11:AA13"/>
    <mergeCell ref="C11:C12"/>
    <mergeCell ref="T9:U9"/>
    <mergeCell ref="V9:W9"/>
    <mergeCell ref="P9:S9"/>
    <mergeCell ref="Z11:Z13"/>
    <mergeCell ref="A2:Y2"/>
    <mergeCell ref="C6:D6"/>
    <mergeCell ref="C5:D5"/>
    <mergeCell ref="B11:B12"/>
    <mergeCell ref="E9:G9"/>
    <mergeCell ref="D11:D12"/>
    <mergeCell ref="H9:I9"/>
    <mergeCell ref="C4:D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C41"/>
  <sheetViews>
    <sheetView workbookViewId="0"/>
  </sheetViews>
  <sheetFormatPr defaultRowHeight="14.4" x14ac:dyDescent="0.3"/>
  <cols>
    <col min="1" max="1" width="5.44140625" style="3" customWidth="1"/>
    <col min="2" max="2" width="7.77734375" style="3" bestFit="1" customWidth="1"/>
    <col min="3" max="3" width="22" style="10" bestFit="1" customWidth="1"/>
    <col min="4" max="4" width="20" style="4" bestFit="1" customWidth="1"/>
    <col min="5" max="5" width="18.5546875" style="4" customWidth="1"/>
    <col min="6" max="6" width="16.88671875" style="4" customWidth="1"/>
    <col min="7" max="7" width="16.77734375" style="5" customWidth="1"/>
    <col min="8" max="8" width="17.21875" style="4" customWidth="1"/>
    <col min="9" max="9" width="16.77734375" style="4" customWidth="1"/>
    <col min="10" max="16" width="17.21875" style="4" customWidth="1"/>
    <col min="17" max="17" width="16.5546875" style="35" customWidth="1"/>
    <col min="18" max="18" width="17" style="4" customWidth="1"/>
    <col min="19" max="19" width="17.21875" style="4" customWidth="1"/>
    <col min="20" max="20" width="16.77734375" style="4" customWidth="1"/>
    <col min="21" max="23" width="17.21875" style="4" customWidth="1"/>
    <col min="24" max="24" width="16.44140625" style="4" customWidth="1"/>
    <col min="25" max="25" width="15.88671875" style="4" customWidth="1"/>
    <col min="26" max="26" width="12.21875" style="5" customWidth="1"/>
    <col min="27" max="27" width="10.21875" style="5" customWidth="1"/>
    <col min="28" max="29" width="8.88671875" style="5" customWidth="1"/>
  </cols>
  <sheetData>
    <row r="1" spans="1:29" ht="19.5" customHeight="1" x14ac:dyDescent="0.4">
      <c r="A1" s="136" t="s">
        <v>40</v>
      </c>
      <c r="B1" s="119"/>
      <c r="C1" s="120"/>
      <c r="D1" s="121"/>
      <c r="E1" s="121"/>
      <c r="F1" s="121"/>
      <c r="G1" s="122"/>
      <c r="H1" s="121"/>
      <c r="I1" s="121"/>
      <c r="J1" s="121"/>
      <c r="K1" s="121"/>
      <c r="L1" s="121"/>
      <c r="M1" s="121"/>
      <c r="N1" s="121"/>
      <c r="O1" s="121"/>
      <c r="P1" s="121"/>
      <c r="Q1" s="123"/>
      <c r="R1" s="121"/>
      <c r="S1" s="121"/>
      <c r="T1" s="121"/>
      <c r="U1" s="121"/>
      <c r="V1" s="121"/>
      <c r="W1" s="121"/>
      <c r="X1" s="121"/>
      <c r="Y1" s="121"/>
      <c r="Z1" s="1"/>
    </row>
    <row r="2" spans="1:29" ht="18" customHeight="1" x14ac:dyDescent="0.35">
      <c r="A2" s="118" t="s">
        <v>41</v>
      </c>
      <c r="B2" s="119"/>
      <c r="C2" s="120"/>
      <c r="D2" s="121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1"/>
      <c r="P2" s="121"/>
      <c r="Q2" s="123"/>
      <c r="R2" s="121"/>
      <c r="S2" s="121"/>
      <c r="T2" s="121"/>
      <c r="U2" s="121"/>
      <c r="V2" s="121"/>
      <c r="W2" s="121"/>
      <c r="X2" s="121"/>
      <c r="Y2" s="121"/>
      <c r="Z2" s="2"/>
    </row>
    <row r="3" spans="1:29" x14ac:dyDescent="0.3">
      <c r="C3" s="139" t="s">
        <v>42</v>
      </c>
      <c r="D3" s="125"/>
      <c r="E3" s="94" t="s">
        <v>43</v>
      </c>
      <c r="F3" s="95" t="s">
        <v>44</v>
      </c>
      <c r="G3" s="95" t="s">
        <v>45</v>
      </c>
    </row>
    <row r="4" spans="1:29" ht="16.8" customHeight="1" x14ac:dyDescent="0.3">
      <c r="C4" s="124" t="s">
        <v>46</v>
      </c>
      <c r="D4" s="125"/>
      <c r="E4" s="95">
        <v>5</v>
      </c>
      <c r="F4" s="90" t="s">
        <v>47</v>
      </c>
      <c r="G4" s="12" t="s">
        <v>48</v>
      </c>
    </row>
    <row r="5" spans="1:29" x14ac:dyDescent="0.3">
      <c r="C5" s="124" t="s">
        <v>49</v>
      </c>
      <c r="D5" s="125"/>
      <c r="E5" s="95">
        <v>4</v>
      </c>
      <c r="F5" s="91" t="s">
        <v>50</v>
      </c>
      <c r="G5" s="12" t="s">
        <v>51</v>
      </c>
    </row>
    <row r="6" spans="1:29" x14ac:dyDescent="0.3">
      <c r="C6" s="124" t="s">
        <v>52</v>
      </c>
      <c r="D6" s="125"/>
      <c r="E6" s="95">
        <v>3</v>
      </c>
      <c r="F6" s="92" t="s">
        <v>53</v>
      </c>
      <c r="G6" s="12" t="s">
        <v>54</v>
      </c>
    </row>
    <row r="7" spans="1:29" x14ac:dyDescent="0.3">
      <c r="C7" s="124" t="s">
        <v>55</v>
      </c>
      <c r="D7" s="125"/>
      <c r="E7" s="95">
        <v>0</v>
      </c>
      <c r="F7" s="93" t="s">
        <v>56</v>
      </c>
      <c r="G7" s="12" t="s">
        <v>57</v>
      </c>
    </row>
    <row r="8" spans="1:29" ht="15" customHeight="1" thickBot="1" x14ac:dyDescent="0.35">
      <c r="C8" s="36"/>
      <c r="D8" s="36"/>
      <c r="E8" s="37"/>
    </row>
    <row r="9" spans="1:29" x14ac:dyDescent="0.3">
      <c r="E9" s="128" t="s">
        <v>58</v>
      </c>
      <c r="F9" s="129"/>
      <c r="G9" s="130"/>
      <c r="H9" s="128" t="s">
        <v>59</v>
      </c>
      <c r="I9" s="130"/>
      <c r="J9" s="128" t="s">
        <v>60</v>
      </c>
      <c r="K9" s="129"/>
      <c r="L9" s="130"/>
      <c r="M9" s="137" t="s">
        <v>61</v>
      </c>
      <c r="N9" s="129"/>
      <c r="O9" s="130"/>
      <c r="P9" s="128" t="s">
        <v>62</v>
      </c>
      <c r="Q9" s="129"/>
      <c r="R9" s="129"/>
      <c r="S9" s="130"/>
      <c r="T9" s="128" t="s">
        <v>63</v>
      </c>
      <c r="U9" s="130"/>
      <c r="V9" s="128" t="s">
        <v>64</v>
      </c>
      <c r="W9" s="130"/>
      <c r="X9" s="61" t="s">
        <v>65</v>
      </c>
    </row>
    <row r="10" spans="1:29" x14ac:dyDescent="0.3">
      <c r="E10" s="42">
        <v>1</v>
      </c>
      <c r="F10" s="43">
        <v>2</v>
      </c>
      <c r="G10" s="44">
        <v>3</v>
      </c>
      <c r="H10" s="42">
        <v>4</v>
      </c>
      <c r="I10" s="44">
        <v>5</v>
      </c>
      <c r="J10" s="42">
        <v>6</v>
      </c>
      <c r="K10" s="43">
        <v>7</v>
      </c>
      <c r="L10" s="101">
        <v>8</v>
      </c>
      <c r="M10" s="42">
        <v>9</v>
      </c>
      <c r="N10" s="107">
        <v>10</v>
      </c>
      <c r="O10" s="44">
        <v>11</v>
      </c>
      <c r="P10" s="42">
        <v>12</v>
      </c>
      <c r="Q10" s="43">
        <v>13</v>
      </c>
      <c r="R10" s="43">
        <v>14</v>
      </c>
      <c r="S10" s="44">
        <v>15</v>
      </c>
      <c r="T10" s="42">
        <v>16</v>
      </c>
      <c r="U10" s="44">
        <v>17</v>
      </c>
      <c r="V10" s="42">
        <v>18</v>
      </c>
      <c r="W10" s="44">
        <v>19</v>
      </c>
      <c r="X10" s="42">
        <v>20</v>
      </c>
    </row>
    <row r="11" spans="1:29" s="34" customFormat="1" ht="82.8" customHeight="1" x14ac:dyDescent="0.3">
      <c r="A11" s="126" t="s">
        <v>1</v>
      </c>
      <c r="B11" s="126" t="s">
        <v>66</v>
      </c>
      <c r="C11" s="134" t="s">
        <v>67</v>
      </c>
      <c r="D11" s="131" t="s">
        <v>68</v>
      </c>
      <c r="E11" s="45" t="s">
        <v>69</v>
      </c>
      <c r="F11" s="46" t="s">
        <v>70</v>
      </c>
      <c r="G11" s="47" t="s">
        <v>71</v>
      </c>
      <c r="H11" s="45" t="s">
        <v>72</v>
      </c>
      <c r="I11" s="47" t="s">
        <v>73</v>
      </c>
      <c r="J11" s="45" t="s">
        <v>74</v>
      </c>
      <c r="K11" s="46" t="s">
        <v>75</v>
      </c>
      <c r="L11" s="47" t="s">
        <v>76</v>
      </c>
      <c r="M11" s="102" t="s">
        <v>77</v>
      </c>
      <c r="N11" s="46" t="s">
        <v>78</v>
      </c>
      <c r="O11" s="47" t="s">
        <v>79</v>
      </c>
      <c r="P11" s="69" t="s">
        <v>80</v>
      </c>
      <c r="Q11" s="46" t="s">
        <v>81</v>
      </c>
      <c r="R11" s="46" t="s">
        <v>82</v>
      </c>
      <c r="S11" s="47" t="s">
        <v>83</v>
      </c>
      <c r="T11" s="45" t="s">
        <v>84</v>
      </c>
      <c r="U11" s="47" t="s">
        <v>85</v>
      </c>
      <c r="V11" s="45" t="s">
        <v>86</v>
      </c>
      <c r="W11" s="47" t="s">
        <v>87</v>
      </c>
      <c r="X11" s="62" t="s">
        <v>88</v>
      </c>
      <c r="Y11" s="138" t="s">
        <v>89</v>
      </c>
      <c r="Z11" s="135" t="s">
        <v>90</v>
      </c>
      <c r="AA11" s="132" t="s">
        <v>45</v>
      </c>
      <c r="AB11" s="33"/>
      <c r="AC11" s="33"/>
    </row>
    <row r="12" spans="1:29" s="34" customFormat="1" ht="83.4" customHeight="1" thickBot="1" x14ac:dyDescent="0.35">
      <c r="A12" s="127"/>
      <c r="B12" s="127"/>
      <c r="C12" s="127"/>
      <c r="D12" s="115"/>
      <c r="E12" s="78" t="s">
        <v>91</v>
      </c>
      <c r="F12" s="79" t="s">
        <v>92</v>
      </c>
      <c r="G12" s="80" t="s">
        <v>93</v>
      </c>
      <c r="H12" s="78" t="s">
        <v>94</v>
      </c>
      <c r="I12" s="81" t="s">
        <v>95</v>
      </c>
      <c r="J12" s="104" t="s">
        <v>96</v>
      </c>
      <c r="K12" s="105" t="s">
        <v>97</v>
      </c>
      <c r="L12" s="106" t="s">
        <v>98</v>
      </c>
      <c r="M12" s="103" t="s">
        <v>99</v>
      </c>
      <c r="N12" s="79" t="s">
        <v>100</v>
      </c>
      <c r="O12" s="81" t="s">
        <v>101</v>
      </c>
      <c r="P12" s="82" t="s">
        <v>102</v>
      </c>
      <c r="Q12" s="79" t="s">
        <v>103</v>
      </c>
      <c r="R12" s="79" t="s">
        <v>104</v>
      </c>
      <c r="S12" s="81" t="s">
        <v>105</v>
      </c>
      <c r="T12" s="78" t="s">
        <v>106</v>
      </c>
      <c r="U12" s="81" t="s">
        <v>107</v>
      </c>
      <c r="V12" s="78" t="s">
        <v>108</v>
      </c>
      <c r="W12" s="81" t="s">
        <v>109</v>
      </c>
      <c r="X12" s="75" t="s">
        <v>110</v>
      </c>
      <c r="Y12" s="114"/>
      <c r="Z12" s="133"/>
      <c r="AA12" s="133"/>
      <c r="AB12" s="33"/>
      <c r="AC12" s="33"/>
    </row>
    <row r="13" spans="1:29" s="6" customFormat="1" ht="22.2" customHeight="1" thickBot="1" x14ac:dyDescent="0.35">
      <c r="A13" s="30"/>
      <c r="B13" s="31"/>
      <c r="C13" s="32"/>
      <c r="D13" s="38" t="s">
        <v>43</v>
      </c>
      <c r="E13" s="77" t="s">
        <v>111</v>
      </c>
      <c r="F13" s="89" t="s">
        <v>112</v>
      </c>
      <c r="G13" s="88" t="s">
        <v>111</v>
      </c>
      <c r="H13" s="88" t="s">
        <v>111</v>
      </c>
      <c r="I13" s="88" t="s">
        <v>111</v>
      </c>
      <c r="J13" s="88" t="s">
        <v>111</v>
      </c>
      <c r="K13" s="88" t="s">
        <v>111</v>
      </c>
      <c r="L13" s="88" t="s">
        <v>111</v>
      </c>
      <c r="M13" s="88" t="s">
        <v>111</v>
      </c>
      <c r="N13" s="88" t="s">
        <v>111</v>
      </c>
      <c r="O13" s="88" t="s">
        <v>111</v>
      </c>
      <c r="P13" s="88" t="s">
        <v>111</v>
      </c>
      <c r="Q13" s="88" t="s">
        <v>111</v>
      </c>
      <c r="R13" s="88" t="s">
        <v>111</v>
      </c>
      <c r="S13" s="88" t="s">
        <v>111</v>
      </c>
      <c r="T13" s="88" t="s">
        <v>111</v>
      </c>
      <c r="U13" s="88" t="s">
        <v>111</v>
      </c>
      <c r="V13" s="88" t="s">
        <v>111</v>
      </c>
      <c r="W13" s="88" t="s">
        <v>111</v>
      </c>
      <c r="X13" s="77" t="s">
        <v>111</v>
      </c>
      <c r="Y13" s="117"/>
      <c r="Z13" s="127"/>
      <c r="AA13" s="127"/>
      <c r="AB13" s="3"/>
      <c r="AC13" s="3"/>
    </row>
    <row r="14" spans="1:29" ht="30" customHeight="1" x14ac:dyDescent="0.3">
      <c r="A14" s="9">
        <v>1</v>
      </c>
      <c r="B14" s="11" t="s">
        <v>113</v>
      </c>
      <c r="C14" s="8" t="s">
        <v>114</v>
      </c>
      <c r="D14" s="39" t="s">
        <v>115</v>
      </c>
      <c r="E14" s="83"/>
      <c r="F14" s="84"/>
      <c r="G14" s="85"/>
      <c r="H14" s="96"/>
      <c r="I14" s="85"/>
      <c r="J14" s="83">
        <v>5</v>
      </c>
      <c r="K14" s="86">
        <v>4</v>
      </c>
      <c r="L14" s="87">
        <v>4</v>
      </c>
      <c r="M14" s="83"/>
      <c r="N14" s="86"/>
      <c r="O14" s="87"/>
      <c r="P14" s="83"/>
      <c r="Q14" s="86"/>
      <c r="R14" s="86"/>
      <c r="S14" s="87"/>
      <c r="T14" s="83"/>
      <c r="U14" s="87"/>
      <c r="V14" s="83"/>
      <c r="W14" s="87"/>
      <c r="X14" s="76"/>
      <c r="Y14" s="41">
        <v>13</v>
      </c>
      <c r="Z14" s="13">
        <v>0.13</v>
      </c>
      <c r="AA14" s="14" t="s">
        <v>57</v>
      </c>
    </row>
    <row r="15" spans="1:29" ht="30" customHeight="1" x14ac:dyDescent="0.3">
      <c r="A15" s="11">
        <v>2</v>
      </c>
      <c r="B15" s="11" t="s">
        <v>116</v>
      </c>
      <c r="C15" s="8" t="s">
        <v>117</v>
      </c>
      <c r="D15" s="39" t="s">
        <v>118</v>
      </c>
      <c r="E15" s="48"/>
      <c r="F15" s="49"/>
      <c r="G15" s="50"/>
      <c r="H15" s="97"/>
      <c r="I15" s="50"/>
      <c r="J15" s="48">
        <v>4</v>
      </c>
      <c r="K15" s="64">
        <v>3</v>
      </c>
      <c r="L15" s="65">
        <v>4</v>
      </c>
      <c r="M15" s="48"/>
      <c r="N15" s="64"/>
      <c r="O15" s="65"/>
      <c r="P15" s="70"/>
      <c r="Q15" s="64"/>
      <c r="R15" s="64"/>
      <c r="S15" s="65"/>
      <c r="T15" s="48"/>
      <c r="U15" s="65"/>
      <c r="V15" s="48"/>
      <c r="W15" s="65"/>
      <c r="X15" s="73"/>
      <c r="Y15" s="41">
        <v>11</v>
      </c>
      <c r="Z15" s="13">
        <v>0.11</v>
      </c>
      <c r="AA15" s="14" t="s">
        <v>57</v>
      </c>
    </row>
    <row r="16" spans="1:29" ht="30" hidden="1" customHeight="1" x14ac:dyDescent="0.3">
      <c r="A16" s="9">
        <v>3</v>
      </c>
      <c r="B16" s="11" t="s">
        <v>119</v>
      </c>
      <c r="C16" s="8" t="s">
        <v>120</v>
      </c>
      <c r="D16" s="39" t="s">
        <v>121</v>
      </c>
      <c r="E16" s="48"/>
      <c r="F16" s="49"/>
      <c r="G16" s="50"/>
      <c r="H16" s="97"/>
      <c r="I16" s="50"/>
      <c r="J16" s="48"/>
      <c r="K16" s="64"/>
      <c r="L16" s="65"/>
      <c r="M16" s="48"/>
      <c r="N16" s="64"/>
      <c r="O16" s="65"/>
      <c r="P16" s="70"/>
      <c r="Q16" s="64"/>
      <c r="R16" s="64"/>
      <c r="S16" s="65"/>
      <c r="T16" s="48"/>
      <c r="U16" s="65"/>
      <c r="V16" s="48"/>
      <c r="W16" s="65"/>
      <c r="X16" s="73"/>
      <c r="Y16" s="41">
        <v>0</v>
      </c>
      <c r="Z16" s="13">
        <v>0</v>
      </c>
      <c r="AA16" s="14" t="s">
        <v>57</v>
      </c>
    </row>
    <row r="17" spans="1:27" ht="30" hidden="1" customHeight="1" x14ac:dyDescent="0.3">
      <c r="A17" s="11">
        <v>4</v>
      </c>
      <c r="B17" s="11" t="s">
        <v>122</v>
      </c>
      <c r="C17" s="8" t="s">
        <v>123</v>
      </c>
      <c r="D17" s="39" t="s">
        <v>124</v>
      </c>
      <c r="E17" s="48"/>
      <c r="F17" s="49"/>
      <c r="G17" s="50"/>
      <c r="H17" s="97"/>
      <c r="I17" s="50"/>
      <c r="J17" s="48"/>
      <c r="K17" s="64"/>
      <c r="L17" s="65"/>
      <c r="M17" s="48"/>
      <c r="N17" s="64"/>
      <c r="O17" s="65"/>
      <c r="P17" s="70"/>
      <c r="Q17" s="64"/>
      <c r="R17" s="64"/>
      <c r="S17" s="65"/>
      <c r="T17" s="48"/>
      <c r="U17" s="65"/>
      <c r="V17" s="48"/>
      <c r="W17" s="65"/>
      <c r="X17" s="73"/>
      <c r="Y17" s="41">
        <v>0</v>
      </c>
      <c r="Z17" s="13">
        <v>0</v>
      </c>
      <c r="AA17" s="14" t="s">
        <v>57</v>
      </c>
    </row>
    <row r="18" spans="1:27" ht="30" hidden="1" customHeight="1" x14ac:dyDescent="0.3">
      <c r="A18" s="9">
        <v>5</v>
      </c>
      <c r="B18" s="11" t="s">
        <v>125</v>
      </c>
      <c r="C18" s="8" t="s">
        <v>126</v>
      </c>
      <c r="D18" s="39" t="s">
        <v>127</v>
      </c>
      <c r="E18" s="48"/>
      <c r="F18" s="49"/>
      <c r="G18" s="50"/>
      <c r="H18" s="97"/>
      <c r="I18" s="50"/>
      <c r="J18" s="48"/>
      <c r="K18" s="64"/>
      <c r="L18" s="65"/>
      <c r="M18" s="48"/>
      <c r="N18" s="64"/>
      <c r="O18" s="65"/>
      <c r="P18" s="70"/>
      <c r="Q18" s="64"/>
      <c r="R18" s="64"/>
      <c r="S18" s="65"/>
      <c r="T18" s="48"/>
      <c r="U18" s="65"/>
      <c r="V18" s="48"/>
      <c r="W18" s="65"/>
      <c r="X18" s="73"/>
      <c r="Y18" s="41">
        <v>0</v>
      </c>
      <c r="Z18" s="13">
        <v>0</v>
      </c>
      <c r="AA18" s="14" t="s">
        <v>57</v>
      </c>
    </row>
    <row r="19" spans="1:27" ht="30" hidden="1" customHeight="1" x14ac:dyDescent="0.3">
      <c r="A19" s="11">
        <v>6</v>
      </c>
      <c r="B19" s="11" t="s">
        <v>128</v>
      </c>
      <c r="C19" s="8" t="s">
        <v>129</v>
      </c>
      <c r="D19" s="39" t="s">
        <v>127</v>
      </c>
      <c r="E19" s="48"/>
      <c r="F19" s="49"/>
      <c r="G19" s="50"/>
      <c r="H19" s="97"/>
      <c r="I19" s="50"/>
      <c r="J19" s="48"/>
      <c r="K19" s="64"/>
      <c r="L19" s="65"/>
      <c r="M19" s="48"/>
      <c r="N19" s="64"/>
      <c r="O19" s="65"/>
      <c r="P19" s="70"/>
      <c r="Q19" s="64"/>
      <c r="R19" s="64"/>
      <c r="S19" s="65"/>
      <c r="T19" s="48"/>
      <c r="U19" s="65"/>
      <c r="V19" s="48"/>
      <c r="W19" s="65"/>
      <c r="X19" s="73"/>
      <c r="Y19" s="41">
        <v>0</v>
      </c>
      <c r="Z19" s="13">
        <v>0</v>
      </c>
      <c r="AA19" s="14" t="s">
        <v>57</v>
      </c>
    </row>
    <row r="20" spans="1:27" ht="30" customHeight="1" x14ac:dyDescent="0.3">
      <c r="A20" s="9">
        <v>7</v>
      </c>
      <c r="B20" s="11" t="s">
        <v>130</v>
      </c>
      <c r="C20" s="8" t="s">
        <v>131</v>
      </c>
      <c r="D20" s="39" t="s">
        <v>115</v>
      </c>
      <c r="E20" s="48"/>
      <c r="F20" s="51"/>
      <c r="G20" s="52"/>
      <c r="H20" s="98"/>
      <c r="I20" s="52"/>
      <c r="J20" s="48">
        <v>5</v>
      </c>
      <c r="K20" s="64">
        <v>5</v>
      </c>
      <c r="L20" s="65">
        <v>4</v>
      </c>
      <c r="M20" s="48"/>
      <c r="N20" s="64"/>
      <c r="O20" s="65"/>
      <c r="P20" s="70"/>
      <c r="Q20" s="64"/>
      <c r="R20" s="64"/>
      <c r="S20" s="65"/>
      <c r="T20" s="48"/>
      <c r="U20" s="65"/>
      <c r="V20" s="48"/>
      <c r="W20" s="65"/>
      <c r="X20" s="73"/>
      <c r="Y20" s="41">
        <v>14</v>
      </c>
      <c r="Z20" s="13">
        <v>0.14000000000000001</v>
      </c>
      <c r="AA20" s="14" t="s">
        <v>57</v>
      </c>
    </row>
    <row r="21" spans="1:27" ht="30" hidden="1" customHeight="1" x14ac:dyDescent="0.3">
      <c r="A21" s="11">
        <v>8</v>
      </c>
      <c r="B21" s="11" t="s">
        <v>132</v>
      </c>
      <c r="C21" s="8" t="s">
        <v>133</v>
      </c>
      <c r="D21" s="39" t="s">
        <v>134</v>
      </c>
      <c r="E21" s="48"/>
      <c r="F21" s="51"/>
      <c r="G21" s="52"/>
      <c r="H21" s="98"/>
      <c r="I21" s="52"/>
      <c r="J21" s="48"/>
      <c r="K21" s="64"/>
      <c r="L21" s="65"/>
      <c r="M21" s="48"/>
      <c r="N21" s="64"/>
      <c r="O21" s="65"/>
      <c r="P21" s="70"/>
      <c r="Q21" s="64"/>
      <c r="R21" s="64"/>
      <c r="S21" s="65"/>
      <c r="T21" s="48"/>
      <c r="U21" s="65"/>
      <c r="V21" s="48"/>
      <c r="W21" s="65"/>
      <c r="X21" s="73"/>
      <c r="Y21" s="41">
        <v>0</v>
      </c>
      <c r="Z21" s="13">
        <v>0</v>
      </c>
      <c r="AA21" s="14" t="s">
        <v>57</v>
      </c>
    </row>
    <row r="22" spans="1:27" ht="30" customHeight="1" x14ac:dyDescent="0.3">
      <c r="A22" s="9">
        <v>9</v>
      </c>
      <c r="B22" s="11" t="s">
        <v>135</v>
      </c>
      <c r="C22" s="8" t="s">
        <v>136</v>
      </c>
      <c r="D22" s="39" t="s">
        <v>118</v>
      </c>
      <c r="E22" s="48"/>
      <c r="F22" s="51"/>
      <c r="G22" s="52"/>
      <c r="H22" s="98"/>
      <c r="I22" s="52"/>
      <c r="J22" s="48">
        <v>4</v>
      </c>
      <c r="K22" s="64">
        <v>4</v>
      </c>
      <c r="L22" s="65">
        <v>3</v>
      </c>
      <c r="M22" s="48"/>
      <c r="N22" s="64"/>
      <c r="O22" s="65"/>
      <c r="P22" s="70"/>
      <c r="Q22" s="64"/>
      <c r="R22" s="64"/>
      <c r="S22" s="65"/>
      <c r="T22" s="48"/>
      <c r="U22" s="65"/>
      <c r="V22" s="48"/>
      <c r="W22" s="65"/>
      <c r="X22" s="73"/>
      <c r="Y22" s="41">
        <v>11</v>
      </c>
      <c r="Z22" s="13">
        <v>0.11</v>
      </c>
      <c r="AA22" s="14" t="s">
        <v>57</v>
      </c>
    </row>
    <row r="23" spans="1:27" ht="30" hidden="1" customHeight="1" x14ac:dyDescent="0.3">
      <c r="A23" s="11">
        <v>10</v>
      </c>
      <c r="B23" s="11" t="s">
        <v>137</v>
      </c>
      <c r="C23" s="8" t="s">
        <v>138</v>
      </c>
      <c r="D23" s="39" t="s">
        <v>127</v>
      </c>
      <c r="E23" s="48"/>
      <c r="F23" s="49"/>
      <c r="G23" s="50"/>
      <c r="H23" s="97"/>
      <c r="I23" s="50"/>
      <c r="J23" s="48"/>
      <c r="K23" s="64"/>
      <c r="L23" s="65"/>
      <c r="M23" s="48"/>
      <c r="N23" s="64"/>
      <c r="O23" s="65"/>
      <c r="P23" s="70"/>
      <c r="Q23" s="64"/>
      <c r="R23" s="64"/>
      <c r="S23" s="65"/>
      <c r="T23" s="48"/>
      <c r="U23" s="65"/>
      <c r="V23" s="48"/>
      <c r="W23" s="65"/>
      <c r="X23" s="73"/>
      <c r="Y23" s="41">
        <v>0</v>
      </c>
      <c r="Z23" s="13">
        <v>0</v>
      </c>
      <c r="AA23" s="14" t="s">
        <v>57</v>
      </c>
    </row>
    <row r="24" spans="1:27" ht="30" hidden="1" customHeight="1" x14ac:dyDescent="0.3">
      <c r="A24" s="9">
        <v>11</v>
      </c>
      <c r="B24" s="11" t="s">
        <v>139</v>
      </c>
      <c r="C24" s="8" t="s">
        <v>140</v>
      </c>
      <c r="D24" s="39" t="s">
        <v>127</v>
      </c>
      <c r="E24" s="48"/>
      <c r="F24" s="49"/>
      <c r="G24" s="50"/>
      <c r="H24" s="97"/>
      <c r="I24" s="50"/>
      <c r="J24" s="48"/>
      <c r="K24" s="64"/>
      <c r="L24" s="65"/>
      <c r="M24" s="48"/>
      <c r="N24" s="64"/>
      <c r="O24" s="65"/>
      <c r="P24" s="70"/>
      <c r="Q24" s="64"/>
      <c r="R24" s="64"/>
      <c r="S24" s="65"/>
      <c r="T24" s="48"/>
      <c r="U24" s="65"/>
      <c r="V24" s="48"/>
      <c r="W24" s="65"/>
      <c r="X24" s="73"/>
      <c r="Y24" s="41">
        <v>0</v>
      </c>
      <c r="Z24" s="13">
        <v>0</v>
      </c>
      <c r="AA24" s="14" t="s">
        <v>57</v>
      </c>
    </row>
    <row r="25" spans="1:27" ht="30" hidden="1" customHeight="1" x14ac:dyDescent="0.3">
      <c r="A25" s="11">
        <v>12</v>
      </c>
      <c r="B25" s="11" t="s">
        <v>141</v>
      </c>
      <c r="C25" s="8" t="s">
        <v>142</v>
      </c>
      <c r="D25" s="39" t="s">
        <v>121</v>
      </c>
      <c r="E25" s="48"/>
      <c r="F25" s="49"/>
      <c r="G25" s="50"/>
      <c r="H25" s="97"/>
      <c r="I25" s="50"/>
      <c r="J25" s="48"/>
      <c r="K25" s="64"/>
      <c r="L25" s="65"/>
      <c r="M25" s="48"/>
      <c r="N25" s="64"/>
      <c r="O25" s="65"/>
      <c r="P25" s="70"/>
      <c r="Q25" s="64"/>
      <c r="R25" s="64"/>
      <c r="S25" s="65"/>
      <c r="T25" s="48"/>
      <c r="U25" s="65"/>
      <c r="V25" s="48"/>
      <c r="W25" s="65"/>
      <c r="X25" s="73"/>
      <c r="Y25" s="41">
        <v>0</v>
      </c>
      <c r="Z25" s="13">
        <v>0</v>
      </c>
      <c r="AA25" s="14" t="s">
        <v>57</v>
      </c>
    </row>
    <row r="26" spans="1:27" ht="30" customHeight="1" x14ac:dyDescent="0.3">
      <c r="A26" s="9">
        <v>13</v>
      </c>
      <c r="B26" s="11" t="s">
        <v>143</v>
      </c>
      <c r="C26" s="8" t="s">
        <v>144</v>
      </c>
      <c r="D26" s="39" t="s">
        <v>115</v>
      </c>
      <c r="E26" s="48"/>
      <c r="F26" s="51"/>
      <c r="G26" s="52"/>
      <c r="H26" s="98"/>
      <c r="I26" s="52"/>
      <c r="J26" s="48">
        <v>3</v>
      </c>
      <c r="K26" s="64">
        <v>3</v>
      </c>
      <c r="L26" s="65">
        <v>3</v>
      </c>
      <c r="M26" s="48"/>
      <c r="N26" s="64"/>
      <c r="O26" s="65"/>
      <c r="P26" s="70"/>
      <c r="Q26" s="64"/>
      <c r="R26" s="64"/>
      <c r="S26" s="65"/>
      <c r="T26" s="48"/>
      <c r="U26" s="65"/>
      <c r="V26" s="48"/>
      <c r="W26" s="65"/>
      <c r="X26" s="73"/>
      <c r="Y26" s="41">
        <v>9</v>
      </c>
      <c r="Z26" s="13">
        <v>0.09</v>
      </c>
      <c r="AA26" s="14" t="s">
        <v>57</v>
      </c>
    </row>
    <row r="27" spans="1:27" ht="30" hidden="1" customHeight="1" x14ac:dyDescent="0.3">
      <c r="A27" s="11">
        <v>14</v>
      </c>
      <c r="B27" s="11" t="s">
        <v>145</v>
      </c>
      <c r="C27" s="8" t="s">
        <v>146</v>
      </c>
      <c r="D27" s="39" t="s">
        <v>121</v>
      </c>
      <c r="E27" s="48"/>
      <c r="F27" s="51"/>
      <c r="G27" s="52"/>
      <c r="H27" s="98"/>
      <c r="I27" s="52"/>
      <c r="J27" s="48"/>
      <c r="K27" s="64"/>
      <c r="L27" s="65"/>
      <c r="M27" s="48"/>
      <c r="N27" s="64"/>
      <c r="O27" s="65"/>
      <c r="P27" s="70"/>
      <c r="Q27" s="64"/>
      <c r="R27" s="64"/>
      <c r="S27" s="65"/>
      <c r="T27" s="48"/>
      <c r="U27" s="65"/>
      <c r="V27" s="48"/>
      <c r="W27" s="65"/>
      <c r="X27" s="73"/>
      <c r="Y27" s="41">
        <v>0</v>
      </c>
      <c r="Z27" s="13">
        <v>0</v>
      </c>
      <c r="AA27" s="14" t="s">
        <v>57</v>
      </c>
    </row>
    <row r="28" spans="1:27" ht="30" hidden="1" customHeight="1" x14ac:dyDescent="0.3">
      <c r="A28" s="9">
        <v>15</v>
      </c>
      <c r="B28" s="11" t="s">
        <v>147</v>
      </c>
      <c r="C28" s="8" t="s">
        <v>148</v>
      </c>
      <c r="D28" s="39" t="s">
        <v>124</v>
      </c>
      <c r="E28" s="48"/>
      <c r="F28" s="51"/>
      <c r="G28" s="52"/>
      <c r="H28" s="98"/>
      <c r="I28" s="52"/>
      <c r="J28" s="48"/>
      <c r="K28" s="64"/>
      <c r="L28" s="65"/>
      <c r="M28" s="48"/>
      <c r="N28" s="64"/>
      <c r="O28" s="65"/>
      <c r="P28" s="70"/>
      <c r="Q28" s="64"/>
      <c r="R28" s="64"/>
      <c r="S28" s="65"/>
      <c r="T28" s="48"/>
      <c r="U28" s="65"/>
      <c r="V28" s="48"/>
      <c r="W28" s="65"/>
      <c r="X28" s="73"/>
      <c r="Y28" s="41">
        <v>0</v>
      </c>
      <c r="Z28" s="13">
        <v>0</v>
      </c>
      <c r="AA28" s="14" t="s">
        <v>57</v>
      </c>
    </row>
    <row r="29" spans="1:27" ht="30" customHeight="1" x14ac:dyDescent="0.3">
      <c r="A29" s="11">
        <v>16</v>
      </c>
      <c r="B29" s="11" t="s">
        <v>149</v>
      </c>
      <c r="C29" s="8" t="s">
        <v>150</v>
      </c>
      <c r="D29" s="39" t="s">
        <v>121</v>
      </c>
      <c r="E29" s="48"/>
      <c r="F29" s="51"/>
      <c r="G29" s="52"/>
      <c r="H29" s="98"/>
      <c r="I29" s="52"/>
      <c r="J29" s="48">
        <v>4</v>
      </c>
      <c r="K29" s="64">
        <v>4</v>
      </c>
      <c r="L29" s="65">
        <v>3</v>
      </c>
      <c r="M29" s="48"/>
      <c r="N29" s="64"/>
      <c r="O29" s="65"/>
      <c r="P29" s="70"/>
      <c r="Q29" s="64"/>
      <c r="R29" s="64"/>
      <c r="S29" s="65"/>
      <c r="T29" s="48"/>
      <c r="U29" s="65"/>
      <c r="V29" s="48"/>
      <c r="W29" s="65"/>
      <c r="X29" s="73"/>
      <c r="Y29" s="41">
        <v>11</v>
      </c>
      <c r="Z29" s="13">
        <v>0.11</v>
      </c>
      <c r="AA29" s="14" t="s">
        <v>57</v>
      </c>
    </row>
    <row r="30" spans="1:27" ht="30" hidden="1" customHeight="1" x14ac:dyDescent="0.3">
      <c r="A30" s="9">
        <v>17</v>
      </c>
      <c r="B30" s="11" t="s">
        <v>151</v>
      </c>
      <c r="C30" s="8" t="s">
        <v>152</v>
      </c>
      <c r="D30" s="39" t="s">
        <v>127</v>
      </c>
      <c r="E30" s="53"/>
      <c r="F30" s="51"/>
      <c r="G30" s="52"/>
      <c r="H30" s="98"/>
      <c r="I30" s="52"/>
      <c r="J30" s="53"/>
      <c r="K30" s="66"/>
      <c r="L30" s="67"/>
      <c r="M30" s="53"/>
      <c r="N30" s="66"/>
      <c r="O30" s="67"/>
      <c r="P30" s="71"/>
      <c r="Q30" s="66"/>
      <c r="R30" s="66"/>
      <c r="S30" s="67"/>
      <c r="T30" s="53"/>
      <c r="U30" s="67"/>
      <c r="V30" s="53"/>
      <c r="W30" s="67"/>
      <c r="X30" s="74"/>
      <c r="Y30" s="41">
        <v>0</v>
      </c>
      <c r="Z30" s="13">
        <v>0</v>
      </c>
      <c r="AA30" s="14" t="s">
        <v>57</v>
      </c>
    </row>
    <row r="31" spans="1:27" ht="30" customHeight="1" x14ac:dyDescent="0.3">
      <c r="A31" s="11">
        <v>18</v>
      </c>
      <c r="B31" s="11" t="s">
        <v>153</v>
      </c>
      <c r="C31" s="8" t="s">
        <v>154</v>
      </c>
      <c r="D31" s="39" t="s">
        <v>121</v>
      </c>
      <c r="E31" s="53"/>
      <c r="F31" s="51"/>
      <c r="G31" s="52"/>
      <c r="H31" s="98"/>
      <c r="I31" s="52"/>
      <c r="J31" s="53">
        <v>4</v>
      </c>
      <c r="K31" s="66">
        <v>3</v>
      </c>
      <c r="L31" s="67">
        <v>4</v>
      </c>
      <c r="M31" s="53"/>
      <c r="N31" s="66"/>
      <c r="O31" s="67"/>
      <c r="P31" s="71"/>
      <c r="Q31" s="66"/>
      <c r="R31" s="66"/>
      <c r="S31" s="67"/>
      <c r="T31" s="53"/>
      <c r="U31" s="67"/>
      <c r="V31" s="53"/>
      <c r="W31" s="67"/>
      <c r="X31" s="74"/>
      <c r="Y31" s="41">
        <v>11</v>
      </c>
      <c r="Z31" s="13">
        <v>0.11</v>
      </c>
      <c r="AA31" s="14" t="s">
        <v>57</v>
      </c>
    </row>
    <row r="32" spans="1:27" ht="30" hidden="1" customHeight="1" x14ac:dyDescent="0.3">
      <c r="A32" s="9">
        <v>19</v>
      </c>
      <c r="B32" s="11" t="s">
        <v>155</v>
      </c>
      <c r="C32" s="8" t="s">
        <v>156</v>
      </c>
      <c r="D32" s="39" t="s">
        <v>124</v>
      </c>
      <c r="E32" s="53"/>
      <c r="F32" s="54"/>
      <c r="G32" s="55"/>
      <c r="H32" s="99"/>
      <c r="I32" s="55"/>
      <c r="J32" s="53"/>
      <c r="K32" s="66"/>
      <c r="L32" s="67"/>
      <c r="M32" s="53"/>
      <c r="N32" s="66"/>
      <c r="O32" s="67"/>
      <c r="P32" s="71"/>
      <c r="Q32" s="66"/>
      <c r="R32" s="66"/>
      <c r="S32" s="67"/>
      <c r="T32" s="53"/>
      <c r="U32" s="67"/>
      <c r="V32" s="53"/>
      <c r="W32" s="67"/>
      <c r="X32" s="74"/>
      <c r="Y32" s="41">
        <v>0</v>
      </c>
      <c r="Z32" s="13">
        <v>0</v>
      </c>
      <c r="AA32" s="14" t="s">
        <v>57</v>
      </c>
    </row>
    <row r="33" spans="1:28" ht="30" hidden="1" customHeight="1" x14ac:dyDescent="0.3">
      <c r="A33" s="11">
        <v>20</v>
      </c>
      <c r="B33" s="11" t="s">
        <v>157</v>
      </c>
      <c r="C33" s="8" t="s">
        <v>158</v>
      </c>
      <c r="D33" s="39" t="s">
        <v>124</v>
      </c>
      <c r="E33" s="53"/>
      <c r="F33" s="54"/>
      <c r="G33" s="55"/>
      <c r="H33" s="99"/>
      <c r="I33" s="55"/>
      <c r="J33" s="53"/>
      <c r="K33" s="66"/>
      <c r="L33" s="67"/>
      <c r="M33" s="53"/>
      <c r="N33" s="66"/>
      <c r="O33" s="67"/>
      <c r="P33" s="71"/>
      <c r="Q33" s="66"/>
      <c r="R33" s="66"/>
      <c r="S33" s="67"/>
      <c r="T33" s="53"/>
      <c r="U33" s="67"/>
      <c r="V33" s="53"/>
      <c r="W33" s="67"/>
      <c r="X33" s="74"/>
      <c r="Y33" s="41">
        <v>0</v>
      </c>
      <c r="Z33" s="13">
        <v>0</v>
      </c>
      <c r="AA33" s="14" t="s">
        <v>57</v>
      </c>
    </row>
    <row r="34" spans="1:28" ht="30" hidden="1" customHeight="1" x14ac:dyDescent="0.3">
      <c r="A34" s="9">
        <v>21</v>
      </c>
      <c r="B34" s="11" t="s">
        <v>159</v>
      </c>
      <c r="C34" s="8" t="s">
        <v>160</v>
      </c>
      <c r="D34" s="39" t="s">
        <v>161</v>
      </c>
      <c r="E34" s="53"/>
      <c r="F34" s="51"/>
      <c r="G34" s="52"/>
      <c r="H34" s="98"/>
      <c r="I34" s="52"/>
      <c r="J34" s="53"/>
      <c r="K34" s="66"/>
      <c r="L34" s="67"/>
      <c r="M34" s="53"/>
      <c r="N34" s="66"/>
      <c r="O34" s="67"/>
      <c r="P34" s="71"/>
      <c r="Q34" s="66"/>
      <c r="R34" s="66"/>
      <c r="S34" s="67"/>
      <c r="T34" s="53"/>
      <c r="U34" s="67"/>
      <c r="V34" s="53"/>
      <c r="W34" s="67"/>
      <c r="X34" s="74"/>
      <c r="Y34" s="41">
        <v>0</v>
      </c>
      <c r="Z34" s="13">
        <v>0</v>
      </c>
      <c r="AA34" s="14" t="s">
        <v>57</v>
      </c>
    </row>
    <row r="35" spans="1:28" ht="30" customHeight="1" x14ac:dyDescent="0.3">
      <c r="A35" s="11">
        <v>22</v>
      </c>
      <c r="B35" s="11" t="s">
        <v>162</v>
      </c>
      <c r="C35" s="8" t="s">
        <v>163</v>
      </c>
      <c r="D35" s="39" t="s">
        <v>121</v>
      </c>
      <c r="E35" s="53"/>
      <c r="F35" s="56"/>
      <c r="G35" s="57"/>
      <c r="H35" s="100"/>
      <c r="I35" s="57"/>
      <c r="J35" s="53">
        <v>4</v>
      </c>
      <c r="K35" s="66">
        <v>3</v>
      </c>
      <c r="L35" s="67">
        <v>4</v>
      </c>
      <c r="M35" s="53"/>
      <c r="N35" s="66"/>
      <c r="O35" s="67"/>
      <c r="P35" s="71"/>
      <c r="Q35" s="66"/>
      <c r="R35" s="66"/>
      <c r="S35" s="67"/>
      <c r="T35" s="53"/>
      <c r="U35" s="67"/>
      <c r="V35" s="53"/>
      <c r="W35" s="67"/>
      <c r="X35" s="74"/>
      <c r="Y35" s="41">
        <v>11</v>
      </c>
      <c r="Z35" s="13">
        <v>0.11</v>
      </c>
      <c r="AA35" s="14" t="s">
        <v>57</v>
      </c>
    </row>
    <row r="36" spans="1:28" ht="30" customHeight="1" x14ac:dyDescent="0.3">
      <c r="A36" s="9">
        <v>23</v>
      </c>
      <c r="B36" s="11" t="s">
        <v>164</v>
      </c>
      <c r="C36" s="8" t="s">
        <v>165</v>
      </c>
      <c r="D36" s="39" t="s">
        <v>118</v>
      </c>
      <c r="E36" s="53"/>
      <c r="F36" s="51"/>
      <c r="G36" s="52"/>
      <c r="H36" s="98"/>
      <c r="I36" s="52"/>
      <c r="J36" s="53">
        <v>3</v>
      </c>
      <c r="K36" s="66">
        <v>3</v>
      </c>
      <c r="L36" s="67">
        <v>3</v>
      </c>
      <c r="M36" s="53"/>
      <c r="N36" s="66"/>
      <c r="O36" s="67"/>
      <c r="P36" s="71"/>
      <c r="Q36" s="66"/>
      <c r="R36" s="66"/>
      <c r="S36" s="67"/>
      <c r="T36" s="53"/>
      <c r="U36" s="67"/>
      <c r="V36" s="53"/>
      <c r="W36" s="67"/>
      <c r="X36" s="74"/>
      <c r="Y36" s="41">
        <v>9</v>
      </c>
      <c r="Z36" s="13">
        <v>0.09</v>
      </c>
      <c r="AA36" s="14" t="s">
        <v>57</v>
      </c>
    </row>
    <row r="37" spans="1:28" ht="30" hidden="1" customHeight="1" x14ac:dyDescent="0.3">
      <c r="A37" s="11">
        <v>24</v>
      </c>
      <c r="B37" s="11" t="s">
        <v>166</v>
      </c>
      <c r="C37" s="8" t="s">
        <v>167</v>
      </c>
      <c r="D37" s="39" t="s">
        <v>124</v>
      </c>
      <c r="E37" s="53"/>
      <c r="F37" s="56"/>
      <c r="G37" s="57"/>
      <c r="H37" s="100"/>
      <c r="I37" s="57"/>
      <c r="J37" s="53"/>
      <c r="K37" s="66"/>
      <c r="L37" s="67"/>
      <c r="M37" s="53"/>
      <c r="N37" s="66"/>
      <c r="O37" s="67"/>
      <c r="P37" s="71"/>
      <c r="Q37" s="66"/>
      <c r="R37" s="66"/>
      <c r="S37" s="67"/>
      <c r="T37" s="53"/>
      <c r="U37" s="67"/>
      <c r="V37" s="53"/>
      <c r="W37" s="67"/>
      <c r="X37" s="74"/>
      <c r="Y37" s="41">
        <v>0</v>
      </c>
      <c r="Z37" s="13">
        <v>0</v>
      </c>
      <c r="AA37" s="14" t="s">
        <v>57</v>
      </c>
    </row>
    <row r="38" spans="1:28" ht="30" customHeight="1" x14ac:dyDescent="0.3">
      <c r="A38" s="9">
        <v>25</v>
      </c>
      <c r="B38" s="9" t="s">
        <v>168</v>
      </c>
      <c r="C38" s="7" t="s">
        <v>169</v>
      </c>
      <c r="D38" s="40" t="s">
        <v>127</v>
      </c>
      <c r="E38" s="53"/>
      <c r="F38" s="51"/>
      <c r="G38" s="52"/>
      <c r="H38" s="98"/>
      <c r="I38" s="52"/>
      <c r="J38" s="53">
        <v>3</v>
      </c>
      <c r="K38" s="66">
        <v>3</v>
      </c>
      <c r="L38" s="67">
        <v>3</v>
      </c>
      <c r="M38" s="53"/>
      <c r="N38" s="66"/>
      <c r="O38" s="67"/>
      <c r="P38" s="71"/>
      <c r="Q38" s="66"/>
      <c r="R38" s="66"/>
      <c r="S38" s="67"/>
      <c r="T38" s="53"/>
      <c r="U38" s="67"/>
      <c r="V38" s="53"/>
      <c r="W38" s="67"/>
      <c r="X38" s="74"/>
      <c r="Y38" s="41">
        <v>9</v>
      </c>
      <c r="Z38" s="13">
        <v>0.09</v>
      </c>
      <c r="AA38" s="14" t="s">
        <v>57</v>
      </c>
    </row>
    <row r="39" spans="1:28" ht="30" customHeight="1" x14ac:dyDescent="0.3">
      <c r="A39" s="11">
        <v>26</v>
      </c>
      <c r="B39" s="9" t="s">
        <v>170</v>
      </c>
      <c r="C39" s="7" t="s">
        <v>171</v>
      </c>
      <c r="D39" s="40" t="s">
        <v>121</v>
      </c>
      <c r="E39" s="53"/>
      <c r="F39" s="51"/>
      <c r="G39" s="52"/>
      <c r="H39" s="98"/>
      <c r="I39" s="52"/>
      <c r="J39" s="53">
        <v>3</v>
      </c>
      <c r="K39" s="66">
        <v>3</v>
      </c>
      <c r="L39" s="67">
        <v>3</v>
      </c>
      <c r="M39" s="53"/>
      <c r="N39" s="66"/>
      <c r="O39" s="67"/>
      <c r="P39" s="71"/>
      <c r="Q39" s="66"/>
      <c r="R39" s="66"/>
      <c r="S39" s="67"/>
      <c r="T39" s="53"/>
      <c r="U39" s="67"/>
      <c r="V39" s="53"/>
      <c r="W39" s="67"/>
      <c r="X39" s="74"/>
      <c r="Y39" s="41">
        <v>9</v>
      </c>
      <c r="Z39" s="13">
        <v>0.09</v>
      </c>
      <c r="AA39" s="14" t="s">
        <v>57</v>
      </c>
    </row>
    <row r="40" spans="1:28" ht="30" customHeight="1" x14ac:dyDescent="0.3">
      <c r="A40" s="9">
        <v>27</v>
      </c>
      <c r="B40" s="9" t="s">
        <v>172</v>
      </c>
      <c r="C40" s="7" t="s">
        <v>173</v>
      </c>
      <c r="D40" s="40" t="s">
        <v>174</v>
      </c>
      <c r="E40" s="53"/>
      <c r="F40" s="51"/>
      <c r="G40" s="52"/>
      <c r="H40" s="98"/>
      <c r="I40" s="52"/>
      <c r="J40" s="53">
        <v>0</v>
      </c>
      <c r="K40" s="66">
        <v>0</v>
      </c>
      <c r="L40" s="67">
        <v>0</v>
      </c>
      <c r="M40" s="53"/>
      <c r="N40" s="66"/>
      <c r="O40" s="67"/>
      <c r="P40" s="71"/>
      <c r="Q40" s="66"/>
      <c r="R40" s="66"/>
      <c r="S40" s="67"/>
      <c r="T40" s="53"/>
      <c r="U40" s="67"/>
      <c r="V40" s="53"/>
      <c r="W40" s="67"/>
      <c r="X40" s="74"/>
      <c r="Y40" s="41">
        <v>0</v>
      </c>
      <c r="Z40" s="13">
        <v>0</v>
      </c>
      <c r="AA40" s="14" t="s">
        <v>57</v>
      </c>
    </row>
    <row r="41" spans="1:28" s="16" customFormat="1" ht="28.8" customHeight="1" thickBot="1" x14ac:dyDescent="0.35">
      <c r="A41" s="11">
        <v>28</v>
      </c>
      <c r="B41" s="9" t="s">
        <v>164</v>
      </c>
      <c r="C41" s="7" t="s">
        <v>175</v>
      </c>
      <c r="D41" s="40" t="s">
        <v>174</v>
      </c>
      <c r="E41" s="108"/>
      <c r="F41" s="59"/>
      <c r="G41" s="60"/>
      <c r="H41" s="58"/>
      <c r="I41" s="60"/>
      <c r="J41" s="58">
        <v>3</v>
      </c>
      <c r="K41" s="68">
        <v>3</v>
      </c>
      <c r="L41" s="60">
        <v>3</v>
      </c>
      <c r="M41" s="58"/>
      <c r="N41" s="68"/>
      <c r="O41" s="60"/>
      <c r="P41" s="72"/>
      <c r="Q41" s="68"/>
      <c r="R41" s="68"/>
      <c r="S41" s="60"/>
      <c r="T41" s="58"/>
      <c r="U41" s="60"/>
      <c r="V41" s="58"/>
      <c r="W41" s="60"/>
      <c r="X41" s="63"/>
      <c r="Y41" s="41">
        <v>9</v>
      </c>
      <c r="Z41" s="13">
        <v>0.09</v>
      </c>
      <c r="AA41" s="14" t="s">
        <v>57</v>
      </c>
      <c r="AB41" s="5"/>
    </row>
  </sheetData>
  <mergeCells count="21">
    <mergeCell ref="A1:Y1"/>
    <mergeCell ref="C7:D7"/>
    <mergeCell ref="M9:O9"/>
    <mergeCell ref="Y11:Y13"/>
    <mergeCell ref="J9:L9"/>
    <mergeCell ref="C3:D3"/>
    <mergeCell ref="A11:A12"/>
    <mergeCell ref="AA11:AA13"/>
    <mergeCell ref="C11:C12"/>
    <mergeCell ref="T9:U9"/>
    <mergeCell ref="V9:W9"/>
    <mergeCell ref="P9:S9"/>
    <mergeCell ref="Z11:Z13"/>
    <mergeCell ref="A2:Y2"/>
    <mergeCell ref="C6:D6"/>
    <mergeCell ref="C5:D5"/>
    <mergeCell ref="B11:B12"/>
    <mergeCell ref="E9:G9"/>
    <mergeCell ref="D11:D12"/>
    <mergeCell ref="H9:I9"/>
    <mergeCell ref="C4:D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(3)</vt:lpstr>
      <vt:lpstr>KPI October-2024</vt:lpstr>
      <vt:lpstr>KPI December-2025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Ziaur Rahman</dc:creator>
  <cp:lastModifiedBy>Prottoy Saha</cp:lastModifiedBy>
  <dcterms:created xsi:type="dcterms:W3CDTF">2024-07-07T02:41:27Z</dcterms:created>
  <dcterms:modified xsi:type="dcterms:W3CDTF">2025-12-14T06:16:02Z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0x0101003A54C49968BEAB47A835694E823A7EC4</vt:lpwstr>
  </property>
</Properties>
</file>