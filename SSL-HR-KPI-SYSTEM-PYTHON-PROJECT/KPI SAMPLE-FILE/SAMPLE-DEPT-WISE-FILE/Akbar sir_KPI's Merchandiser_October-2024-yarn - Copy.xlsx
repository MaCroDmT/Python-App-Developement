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xmlns:r="http://schemas.openxmlformats.org/officeDocument/2006/relationships" name="Summary (3)" sheetId="1" state="visible" r:id="rId1"/>
    <sheet xmlns:r="http://schemas.openxmlformats.org/officeDocument/2006/relationships" name="KPI October-2024" sheetId="2" state="visible" r:id="rId2"/>
    <sheet xmlns:r="http://schemas.openxmlformats.org/officeDocument/2006/relationships" name="KPI December-2025" sheetId="3" state="visible" r:id="rId3"/>
  </sheets>
  <definedNames>
    <definedName name="_xlnm._FilterDatabase" localSheetId="0" hidden="1">'Summary (3)'!$A$4:$G$4</definedName>
    <definedName name="_xlnm._FilterDatabase" localSheetId="1" hidden="1">'KPI October-2024'!$A$13:$AC$41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4"/>
      <scheme val="minor"/>
    </font>
    <font>
      <name val="Arial"/>
      <family val="2"/>
      <sz val="10"/>
    </font>
    <font>
      <name val="Calibri"/>
      <family val="2"/>
      <b val="1"/>
      <color rgb="FF0000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rgb="FF0000FF"/>
      <sz val="14"/>
      <scheme val="minor"/>
    </font>
    <font>
      <name val="Tahoma"/>
      <family val="2"/>
      <b val="1"/>
      <color rgb="FF0000FF"/>
      <sz val="10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154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3" fontId="0" fillId="0" borderId="1" applyAlignment="1" pivotButton="0" quotePrefix="0" xfId="0">
      <alignment horizontal="right" wrapText="1"/>
    </xf>
    <xf numFmtId="1" fontId="0" fillId="0" borderId="1" applyAlignment="1" pivotButton="0" quotePrefix="0" xfId="0">
      <alignment horizontal="right" wrapText="1"/>
    </xf>
    <xf numFmtId="0" fontId="0" fillId="0" borderId="1" applyAlignment="1" pivotButton="0" quotePrefix="0" xfId="0">
      <alignment horizontal="right" wrapText="1"/>
    </xf>
    <xf numFmtId="3" fontId="0" fillId="0" borderId="0" pivotButton="0" quotePrefix="0" xfId="0"/>
    <xf numFmtId="10" fontId="0" fillId="0" borderId="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3" fontId="0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center"/>
    </xf>
    <xf numFmtId="0" fontId="0" fillId="5" borderId="6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horizontal="center" vertical="center"/>
    </xf>
    <xf numFmtId="0" fontId="0" fillId="3" borderId="20" applyAlignment="1" pivotButton="0" quotePrefix="0" xfId="0">
      <alignment horizontal="center"/>
    </xf>
    <xf numFmtId="0" fontId="0" fillId="3" borderId="21" applyAlignment="1" pivotButton="0" quotePrefix="0" xfId="0">
      <alignment horizontal="center"/>
    </xf>
    <xf numFmtId="0" fontId="0" fillId="3" borderId="22" applyAlignment="1" pivotButton="0" quotePrefix="0" xfId="0">
      <alignment horizontal="center"/>
    </xf>
    <xf numFmtId="0" fontId="6" fillId="2" borderId="20" applyAlignment="1" pivotButton="0" quotePrefix="0" xfId="0">
      <alignment horizontal="center" vertical="center" wrapText="1"/>
    </xf>
    <xf numFmtId="0" fontId="6" fillId="2" borderId="21" applyAlignment="1" pivotButton="0" quotePrefix="0" xfId="0">
      <alignment horizontal="center" vertical="center" wrapText="1"/>
    </xf>
    <xf numFmtId="0" fontId="6" fillId="2" borderId="22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1" applyAlignment="1" pivotButton="0" quotePrefix="0" xfId="0">
      <alignment vertical="center" wrapText="1"/>
    </xf>
    <xf numFmtId="0" fontId="0" fillId="0" borderId="22" applyAlignment="1" pivotButton="0" quotePrefix="0" xfId="0">
      <alignment vertical="center" wrapText="1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left" vertical="center" wrapText="1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horizontal="left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left" vertical="center"/>
    </xf>
    <xf numFmtId="0" fontId="10" fillId="3" borderId="26" applyAlignment="1" pivotButton="0" quotePrefix="0" xfId="0">
      <alignment horizontal="center"/>
    </xf>
    <xf numFmtId="0" fontId="6" fillId="2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left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4" applyAlignment="1" pivotButton="0" quotePrefix="0" xfId="0">
      <alignment horizontal="left" vertical="center"/>
    </xf>
    <xf numFmtId="0" fontId="11" fillId="2" borderId="20" applyAlignment="1" pivotButton="0" quotePrefix="0" xfId="0">
      <alignment horizontal="center" vertical="center" wrapText="1"/>
    </xf>
    <xf numFmtId="0" fontId="11" fillId="0" borderId="20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3" applyAlignment="1" pivotButton="0" quotePrefix="0" xfId="0">
      <alignment horizontal="left" vertical="center"/>
    </xf>
    <xf numFmtId="0" fontId="6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 wrapText="1"/>
    </xf>
    <xf numFmtId="0" fontId="6" fillId="0" borderId="30" applyAlignment="1" pivotButton="0" quotePrefix="0" xfId="0">
      <alignment horizontal="center" vertical="center"/>
    </xf>
    <xf numFmtId="0" fontId="10" fillId="5" borderId="16" applyAlignment="1" pivotButton="0" quotePrefix="0" xfId="0">
      <alignment horizontal="center" vertical="center" wrapText="1"/>
    </xf>
    <xf numFmtId="0" fontId="6" fillId="2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top" wrapText="1"/>
    </xf>
    <xf numFmtId="0" fontId="6" fillId="2" borderId="33" applyAlignment="1" pivotButton="0" quotePrefix="0" xfId="0">
      <alignment horizontal="center" vertical="center" wrapText="1"/>
    </xf>
    <xf numFmtId="0" fontId="11" fillId="2" borderId="31" applyAlignment="1" pivotButton="0" quotePrefix="0" xfId="0">
      <alignment horizontal="center" vertical="center" wrapText="1"/>
    </xf>
    <xf numFmtId="0" fontId="6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0" fontId="10" fillId="5" borderId="37" applyAlignment="1" pivotButton="0" quotePrefix="0" xfId="0">
      <alignment horizontal="center" vertical="center" wrapText="1"/>
    </xf>
    <xf numFmtId="0" fontId="10" fillId="5" borderId="38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20" applyAlignment="1" pivotButton="0" quotePrefix="0" xfId="0">
      <alignment vertical="center" wrapText="1"/>
    </xf>
    <xf numFmtId="0" fontId="0" fillId="0" borderId="20" applyAlignment="1" pivotButton="0" quotePrefix="0" xfId="0">
      <alignment horizontal="left" vertical="center" wrapText="1"/>
    </xf>
    <xf numFmtId="0" fontId="0" fillId="0" borderId="20" applyAlignment="1" pivotButton="0" quotePrefix="0" xfId="0">
      <alignment vertical="center"/>
    </xf>
    <xf numFmtId="0" fontId="0" fillId="3" borderId="40" applyAlignment="1" pivotButton="0" quotePrefix="0" xfId="0">
      <alignment horizontal="center"/>
    </xf>
    <xf numFmtId="0" fontId="6" fillId="2" borderId="41" applyAlignment="1" pivotButton="0" quotePrefix="0" xfId="0">
      <alignment horizontal="center" vertical="center" wrapText="1"/>
    </xf>
    <xf numFmtId="0" fontId="6" fillId="2" borderId="42" applyAlignment="1" pivotButton="0" quotePrefix="0" xfId="0">
      <alignment horizontal="center" vertical="center" wrapText="1"/>
    </xf>
    <xf numFmtId="0" fontId="6" fillId="2" borderId="23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0" fontId="6" fillId="2" borderId="25" applyAlignment="1" pivotButton="0" quotePrefix="0" xfId="0">
      <alignment horizontal="center" vertical="center" wrapText="1"/>
    </xf>
    <xf numFmtId="0" fontId="0" fillId="3" borderId="41" applyAlignment="1" pivotButton="0" quotePrefix="0" xfId="0">
      <alignment horizontal="center"/>
    </xf>
    <xf numFmtId="0" fontId="0" fillId="0" borderId="2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wrapText="1"/>
    </xf>
    <xf numFmtId="0" fontId="9" fillId="0" borderId="7" applyAlignment="1" pivotButton="0" quotePrefix="0" xfId="0">
      <alignment horizont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9" fillId="0" borderId="10" applyAlignment="1" pivotButton="0" quotePrefix="0" xfId="0">
      <alignment horizontal="center" wrapText="1"/>
    </xf>
    <xf numFmtId="0" fontId="9" fillId="0" borderId="11" applyAlignment="1" pivotButton="0" quotePrefix="0" xfId="0">
      <alignment horizontal="center" wrapText="1"/>
    </xf>
    <xf numFmtId="0" fontId="9" fillId="0" borderId="12" applyAlignment="1" pivotButton="0" quotePrefix="0" xfId="0">
      <alignment horizontal="center" wrapText="1"/>
    </xf>
    <xf numFmtId="0" fontId="9" fillId="0" borderId="13" applyAlignment="1" pivotButton="0" quotePrefix="0" xfId="0">
      <alignment horizont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0" fillId="3" borderId="17" applyAlignment="1" pivotButton="0" quotePrefix="0" xfId="0">
      <alignment horizontal="center"/>
    </xf>
    <xf numFmtId="0" fontId="10" fillId="3" borderId="19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13" fillId="4" borderId="3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0" fillId="3" borderId="18" applyAlignment="1" pivotButton="0" quotePrefix="0" xfId="0">
      <alignment horizontal="center"/>
    </xf>
    <xf numFmtId="0" fontId="10" fillId="4" borderId="1" applyAlignment="1" pivotButton="0" quotePrefix="0" xfId="0">
      <alignment horizontal="left" vertical="center" wrapText="1"/>
    </xf>
    <xf numFmtId="0" fontId="10" fillId="3" borderId="39" applyAlignment="1" pivotButton="0" quotePrefix="0" xfId="0">
      <alignment horizontal="center"/>
    </xf>
    <xf numFmtId="0" fontId="9" fillId="0" borderId="1" applyAlignment="1" pivotButton="0" quotePrefix="0" xfId="0">
      <alignment horizont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5" pivotButton="0" quotePrefix="0" xfId="0"/>
    <xf numFmtId="0" fontId="0" fillId="0" borderId="39" pivotButton="0" quotePrefix="0" xfId="0"/>
    <xf numFmtId="0" fontId="5" fillId="0" borderId="4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7"/>
  <sheetViews>
    <sheetView showGridLines="0" workbookViewId="0">
      <selection activeCell="J13" sqref="J13"/>
    </sheetView>
  </sheetViews>
  <sheetFormatPr baseColWidth="8" defaultRowHeight="14.4"/>
  <cols>
    <col width="4" bestFit="1" customWidth="1" min="1" max="1"/>
    <col width="17.33203125" bestFit="1" customWidth="1" min="2" max="2"/>
    <col width="23.88671875" customWidth="1" min="3" max="3"/>
    <col width="15.109375" customWidth="1" min="4" max="4"/>
    <col width="12.77734375" customWidth="1" min="5" max="5"/>
    <col width="12.5546875" bestFit="1" customWidth="1" min="6" max="6"/>
    <col width="14.44140625" bestFit="1" customWidth="1" min="7" max="7"/>
    <col width="11.21875" bestFit="1" customWidth="1" min="8" max="8"/>
    <col width="16.44140625" bestFit="1" customWidth="1" min="9" max="9"/>
    <col width="13.88671875" bestFit="1" customWidth="1" min="10" max="10"/>
    <col width="9.88671875" bestFit="1" customWidth="1" min="11" max="11"/>
    <col width="11.88671875" bestFit="1" customWidth="1" min="12" max="12"/>
    <col width="5.44140625" bestFit="1" customWidth="1" min="13" max="13"/>
    <col width="13.21875" bestFit="1" customWidth="1" min="14" max="14"/>
    <col width="9.109375" bestFit="1" customWidth="1" min="15" max="15"/>
    <col width="11.6640625" bestFit="1" customWidth="1" min="16" max="16"/>
    <col width="16.33203125" bestFit="1" customWidth="1" min="17" max="17"/>
    <col width="22.6640625" bestFit="1" customWidth="1" min="18" max="18"/>
    <col width="19.77734375" bestFit="1" customWidth="1" min="19" max="19"/>
    <col width="34.33203125" bestFit="1" customWidth="1" min="20" max="20"/>
    <col width="33.44140625" bestFit="1" customWidth="1" min="21" max="21"/>
    <col width="17" bestFit="1" customWidth="1" min="22" max="22"/>
    <col width="16.33203125" bestFit="1" customWidth="1" min="23" max="23"/>
    <col width="17.6640625" bestFit="1" customWidth="1" min="24" max="24"/>
    <col width="30.77734375" bestFit="1" customWidth="1" min="25" max="25"/>
    <col width="31.109375" bestFit="1" customWidth="1" min="26" max="26"/>
    <col width="14.88671875" bestFit="1" customWidth="1" min="27" max="27"/>
    <col width="11.77734375" bestFit="1" customWidth="1" min="28" max="28"/>
    <col width="22" bestFit="1" customWidth="1" min="29" max="29"/>
    <col width="18.88671875" bestFit="1" customWidth="1" min="30" max="30"/>
    <col width="20.6640625" bestFit="1" customWidth="1" min="31" max="31"/>
    <col width="18.33203125" bestFit="1" customWidth="1" min="32" max="32"/>
    <col width="8.5546875" bestFit="1" customWidth="1" min="33" max="33"/>
    <col width="19.77734375" bestFit="1" customWidth="1" min="34" max="34"/>
    <col width="15.77734375" bestFit="1" customWidth="1" min="35" max="35"/>
    <col width="23.44140625" bestFit="1" customWidth="1" min="36" max="36"/>
    <col width="14.21875" bestFit="1" customWidth="1" min="37" max="37"/>
    <col width="17.21875" bestFit="1" customWidth="1" min="38" max="38"/>
  </cols>
  <sheetData>
    <row r="1" ht="14.4" customHeight="1">
      <c r="A1" s="139" t="inlineStr">
        <is>
          <t>Company Name:Sonia and Sweaters Ltd.
Ex Factory 01 to 30 Sep</t>
        </is>
      </c>
      <c r="B1" s="140" t="n"/>
      <c r="C1" s="140" t="n"/>
      <c r="D1" s="140" t="n"/>
      <c r="E1" s="140" t="n"/>
      <c r="F1" s="140" t="n"/>
      <c r="G1" s="141" t="n"/>
    </row>
    <row r="2" ht="14.4" customHeight="1">
      <c r="A2" s="142" t="n"/>
      <c r="G2" s="143" t="n"/>
    </row>
    <row r="3" ht="14.4" customHeight="1">
      <c r="A3" s="144" t="n"/>
      <c r="B3" s="145" t="n"/>
      <c r="C3" s="145" t="n"/>
      <c r="D3" s="145" t="n"/>
      <c r="E3" s="145" t="n"/>
      <c r="F3" s="145" t="n"/>
      <c r="G3" s="146" t="n"/>
    </row>
    <row r="4">
      <c r="A4" s="17" t="inlineStr">
        <is>
          <t>SL</t>
        </is>
      </c>
      <c r="B4" s="17" t="inlineStr">
        <is>
          <t>Buyer Name</t>
        </is>
      </c>
      <c r="C4" s="17" t="inlineStr">
        <is>
          <t>Team Leader</t>
        </is>
      </c>
      <c r="D4" s="17" t="inlineStr">
        <is>
          <t>Order Qty</t>
        </is>
      </c>
      <c r="E4" s="17" t="inlineStr">
        <is>
          <t>Order Value</t>
        </is>
      </c>
      <c r="F4" s="17" t="inlineStr">
        <is>
          <t>Shipment Qty</t>
        </is>
      </c>
      <c r="G4" s="17" t="inlineStr">
        <is>
          <t>Shipment Value</t>
        </is>
      </c>
    </row>
    <row r="5">
      <c r="A5" s="18" t="n">
        <v>1</v>
      </c>
      <c r="B5" s="15" t="inlineStr">
        <is>
          <t>Vingino</t>
        </is>
      </c>
      <c r="C5" s="15" t="inlineStr">
        <is>
          <t>Mr. Arif</t>
        </is>
      </c>
      <c r="D5" s="19" t="n">
        <v>4976</v>
      </c>
      <c r="E5" s="20" t="n">
        <v>31026.96</v>
      </c>
      <c r="F5" s="21" t="n">
        <v>4976</v>
      </c>
      <c r="G5" s="20" t="n">
        <v>31026.96</v>
      </c>
      <c r="H5" s="22">
        <f>F5-D5</f>
        <v/>
      </c>
      <c r="I5" s="23" t="n"/>
    </row>
    <row r="6">
      <c r="A6" s="18" t="n">
        <v>2</v>
      </c>
      <c r="B6" s="15" t="inlineStr">
        <is>
          <t>Monoprix [Cobalt]</t>
        </is>
      </c>
      <c r="C6" s="15" t="inlineStr">
        <is>
          <t>Mr. Asad</t>
        </is>
      </c>
      <c r="D6" s="19" t="n">
        <v>25180</v>
      </c>
      <c r="E6" s="20" t="n">
        <v>257526.76</v>
      </c>
      <c r="F6" s="21" t="n">
        <v>25090</v>
      </c>
      <c r="G6" s="20" t="n">
        <v>256201.96</v>
      </c>
      <c r="H6" s="22">
        <f>F6-D6</f>
        <v/>
      </c>
      <c r="I6" s="23" t="n"/>
    </row>
    <row r="7">
      <c r="A7" s="18" t="n">
        <v>3</v>
      </c>
      <c r="B7" s="15" t="inlineStr">
        <is>
          <t>TAROCASH</t>
        </is>
      </c>
      <c r="C7" s="15" t="inlineStr">
        <is>
          <t>Mr. Asad</t>
        </is>
      </c>
      <c r="D7" s="19" t="n">
        <v>2200</v>
      </c>
      <c r="E7" s="20" t="n">
        <v>18480</v>
      </c>
      <c r="F7" s="21" t="n">
        <v>2218</v>
      </c>
      <c r="G7" s="20" t="n">
        <v>18631.2</v>
      </c>
      <c r="H7" s="22">
        <f>F7-D7</f>
        <v/>
      </c>
      <c r="I7" s="23" t="n"/>
    </row>
    <row r="8">
      <c r="A8" s="18" t="n">
        <v>4</v>
      </c>
      <c r="B8" s="15" t="inlineStr">
        <is>
          <t>Macys</t>
        </is>
      </c>
      <c r="C8" s="15" t="inlineStr">
        <is>
          <t>Mr. Asad</t>
        </is>
      </c>
      <c r="D8" s="19" t="n">
        <v>18122</v>
      </c>
      <c r="E8" s="20" t="n">
        <v>133196.7</v>
      </c>
      <c r="F8" s="21" t="n">
        <v>18122</v>
      </c>
      <c r="G8" s="20" t="n">
        <v>133196.7</v>
      </c>
      <c r="H8" s="22">
        <f>F8-D8</f>
        <v/>
      </c>
      <c r="I8" s="23" t="n"/>
    </row>
    <row r="9">
      <c r="A9" s="18" t="n">
        <v>5</v>
      </c>
      <c r="B9" s="15" t="inlineStr">
        <is>
          <t>S.Oliver</t>
        </is>
      </c>
      <c r="C9" s="15" t="inlineStr">
        <is>
          <t>Mr. Bellal Hossain Helal</t>
        </is>
      </c>
      <c r="D9" s="19" t="n">
        <v>24334</v>
      </c>
      <c r="E9" s="20" t="n">
        <v>149258.23</v>
      </c>
      <c r="F9" s="21" t="n">
        <v>24542</v>
      </c>
      <c r="G9" s="20" t="n">
        <v>150215.03</v>
      </c>
      <c r="H9" s="22">
        <f>F9-D9</f>
        <v/>
      </c>
      <c r="I9" s="23">
        <f>H9/D9</f>
        <v/>
      </c>
    </row>
    <row r="10">
      <c r="A10" s="18" t="n">
        <v>6</v>
      </c>
      <c r="B10" s="15" t="inlineStr">
        <is>
          <t>The Children s Place</t>
        </is>
      </c>
      <c r="C10" s="15" t="inlineStr">
        <is>
          <t>Mr. Billal</t>
        </is>
      </c>
      <c r="D10" s="19" t="n">
        <v>87191</v>
      </c>
      <c r="E10" s="20" t="n">
        <v>318105.1</v>
      </c>
      <c r="F10" s="21" t="n">
        <v>87299</v>
      </c>
      <c r="G10" s="20" t="n">
        <v>318568.42</v>
      </c>
      <c r="H10" s="22">
        <f>F10-D10</f>
        <v/>
      </c>
      <c r="I10" s="23" t="n"/>
    </row>
    <row r="11">
      <c r="A11" s="18" t="n">
        <v>7</v>
      </c>
      <c r="B11" s="15" t="inlineStr">
        <is>
          <t xml:space="preserve">Dimensions UK </t>
        </is>
      </c>
      <c r="C11" s="15" t="inlineStr">
        <is>
          <t>Mr. Billal</t>
        </is>
      </c>
      <c r="D11" s="19" t="n">
        <v>1355</v>
      </c>
      <c r="E11" s="20" t="n">
        <v>18902.25</v>
      </c>
      <c r="F11" s="21" t="n">
        <v>1355</v>
      </c>
      <c r="G11" s="20" t="n">
        <v>18902.25</v>
      </c>
      <c r="H11" s="22">
        <f>F11-D11</f>
        <v/>
      </c>
      <c r="I11" s="23" t="n"/>
    </row>
    <row r="12">
      <c r="A12" s="18" t="n">
        <v>8</v>
      </c>
      <c r="B12" s="15" t="inlineStr">
        <is>
          <t>Celio</t>
        </is>
      </c>
      <c r="C12" s="15" t="inlineStr">
        <is>
          <t>Mr. Enjamul</t>
        </is>
      </c>
      <c r="D12" s="19" t="n">
        <v>78180</v>
      </c>
      <c r="E12" s="20" t="n">
        <v>596260.2</v>
      </c>
      <c r="F12" s="21" t="n">
        <v>79466</v>
      </c>
      <c r="G12" s="20" t="n">
        <v>605299.9</v>
      </c>
      <c r="H12" s="22">
        <f>F12-D12</f>
        <v/>
      </c>
      <c r="I12" s="23" t="n"/>
    </row>
    <row r="13">
      <c r="A13" s="18" t="n">
        <v>9</v>
      </c>
      <c r="B13" s="15" t="inlineStr">
        <is>
          <t>Londre Textile</t>
        </is>
      </c>
      <c r="C13" s="15" t="inlineStr">
        <is>
          <t>Mr. Farhad</t>
        </is>
      </c>
      <c r="D13" s="19" t="n">
        <v>1500</v>
      </c>
      <c r="E13" s="20" t="n">
        <v>6600</v>
      </c>
      <c r="F13" s="21" t="n">
        <v>1524</v>
      </c>
      <c r="G13" s="20" t="n">
        <v>6705.6</v>
      </c>
      <c r="H13" s="22">
        <f>F13-D13</f>
        <v/>
      </c>
      <c r="I13" s="23" t="n"/>
    </row>
    <row r="14">
      <c r="A14" s="18" t="n">
        <v>10</v>
      </c>
      <c r="B14" s="15" t="inlineStr">
        <is>
          <t>MQ MarQet AB</t>
        </is>
      </c>
      <c r="C14" s="15" t="inlineStr">
        <is>
          <t>Mr. Farhad</t>
        </is>
      </c>
      <c r="D14" s="19" t="n">
        <v>4550</v>
      </c>
      <c r="E14" s="20" t="n">
        <v>80675</v>
      </c>
      <c r="F14" s="21" t="n">
        <v>4591</v>
      </c>
      <c r="G14" s="20" t="n">
        <v>81093.45</v>
      </c>
      <c r="H14" s="22">
        <f>F14-D14</f>
        <v/>
      </c>
      <c r="I14" s="23" t="n"/>
    </row>
    <row r="15">
      <c r="A15" s="18" t="n">
        <v>11</v>
      </c>
      <c r="B15" s="15" t="inlineStr">
        <is>
          <t>RICKIS</t>
        </is>
      </c>
      <c r="C15" s="15" t="inlineStr">
        <is>
          <t>Mr. Jony</t>
        </is>
      </c>
      <c r="D15" s="19" t="n">
        <v>4750</v>
      </c>
      <c r="E15" s="20" t="n">
        <v>33662.5</v>
      </c>
      <c r="F15" s="21" t="n">
        <v>4740</v>
      </c>
      <c r="G15" s="20" t="n">
        <v>33592.5</v>
      </c>
      <c r="H15" s="22">
        <f>F15-D15</f>
        <v/>
      </c>
      <c r="I15" s="23" t="n"/>
    </row>
    <row r="16">
      <c r="A16" s="18" t="n">
        <v>12</v>
      </c>
      <c r="B16" s="15" t="inlineStr">
        <is>
          <t>Casamoda</t>
        </is>
      </c>
      <c r="C16" s="15" t="inlineStr">
        <is>
          <t>Mr. junayed</t>
        </is>
      </c>
      <c r="D16" s="19" t="n">
        <v>9310</v>
      </c>
      <c r="E16" s="20" t="n">
        <v>167081.5</v>
      </c>
      <c r="F16" s="21" t="n">
        <v>9626</v>
      </c>
      <c r="G16" s="20" t="n">
        <v>172792.3</v>
      </c>
      <c r="H16" s="22">
        <f>F16-D16</f>
        <v/>
      </c>
      <c r="I16" s="23" t="n"/>
    </row>
    <row r="17">
      <c r="A17" s="18" t="n">
        <v>13</v>
      </c>
      <c r="B17" s="15" t="inlineStr">
        <is>
          <t>BRAX [ZXY]</t>
        </is>
      </c>
      <c r="C17" s="15" t="inlineStr">
        <is>
          <t>Mr. junayed</t>
        </is>
      </c>
      <c r="D17" s="19" t="n">
        <v>3860</v>
      </c>
      <c r="E17" s="20" t="n">
        <v>55762</v>
      </c>
      <c r="F17" s="21" t="n">
        <v>3858</v>
      </c>
      <c r="G17" s="20" t="n">
        <v>55732.1</v>
      </c>
      <c r="H17" s="22">
        <f>F17-D17</f>
        <v/>
      </c>
      <c r="I17" s="23" t="n"/>
    </row>
    <row r="18">
      <c r="A18" s="18" t="n">
        <v>14</v>
      </c>
      <c r="B18" s="15" t="inlineStr">
        <is>
          <t>TCHIBO</t>
        </is>
      </c>
      <c r="C18" s="15" t="inlineStr">
        <is>
          <t>Mr. Kajol</t>
        </is>
      </c>
      <c r="D18" s="19" t="n">
        <v>4864</v>
      </c>
      <c r="E18" s="20" t="n">
        <v>17315.84</v>
      </c>
      <c r="F18" s="21" t="n">
        <v>4882</v>
      </c>
      <c r="G18" s="20" t="n">
        <v>17379.92</v>
      </c>
      <c r="H18" s="22">
        <f>F18-D18</f>
        <v/>
      </c>
      <c r="I18" s="23" t="n"/>
    </row>
    <row r="19">
      <c r="A19" s="18" t="n">
        <v>15</v>
      </c>
      <c r="B19" s="15" t="inlineStr">
        <is>
          <t>Jeans Fritz</t>
        </is>
      </c>
      <c r="C19" s="15" t="inlineStr">
        <is>
          <t>Mr. khairul</t>
        </is>
      </c>
      <c r="D19" s="19" t="n">
        <v>43265</v>
      </c>
      <c r="E19" s="20" t="n">
        <v>364542.6</v>
      </c>
      <c r="F19" s="21" t="n">
        <v>43844</v>
      </c>
      <c r="G19" s="20" t="n">
        <v>370307.25</v>
      </c>
      <c r="H19" s="22">
        <f>F19-D19</f>
        <v/>
      </c>
      <c r="I19" s="23" t="n"/>
    </row>
    <row r="20">
      <c r="A20" s="18" t="n">
        <v>16</v>
      </c>
      <c r="B20" s="15" t="inlineStr">
        <is>
          <t>Malwee</t>
        </is>
      </c>
      <c r="C20" s="15" t="inlineStr">
        <is>
          <t>Mr. Mahin</t>
        </is>
      </c>
      <c r="D20" s="19" t="n">
        <v>1017</v>
      </c>
      <c r="E20" s="20" t="n">
        <v>4850.31</v>
      </c>
      <c r="F20" s="21" t="n">
        <v>1012</v>
      </c>
      <c r="G20" s="20" t="n">
        <v>4823.76</v>
      </c>
      <c r="H20" s="22">
        <f>F20-D20</f>
        <v/>
      </c>
      <c r="I20" s="23" t="n"/>
    </row>
    <row r="21">
      <c r="A21" s="18" t="n">
        <v>17</v>
      </c>
      <c r="B21" s="15" t="inlineStr">
        <is>
          <t>Carters</t>
        </is>
      </c>
      <c r="C21" s="15" t="inlineStr">
        <is>
          <t>Mr. Omar</t>
        </is>
      </c>
      <c r="D21" s="19" t="n">
        <v>95715</v>
      </c>
      <c r="E21" s="20" t="n">
        <v>338995.69</v>
      </c>
      <c r="F21" s="21" t="n">
        <v>96154</v>
      </c>
      <c r="G21" s="20" t="n">
        <v>340547.72</v>
      </c>
      <c r="H21" s="22">
        <f>F21-D21</f>
        <v/>
      </c>
      <c r="I21" s="23" t="n"/>
    </row>
    <row r="22">
      <c r="A22" s="18" t="n">
        <v>18</v>
      </c>
      <c r="B22" s="15" t="inlineStr">
        <is>
          <t>Premier [ZXY]</t>
        </is>
      </c>
      <c r="C22" s="15" t="inlineStr">
        <is>
          <t>Mr. Shibbly</t>
        </is>
      </c>
      <c r="D22" s="19" t="n">
        <v>16812</v>
      </c>
      <c r="E22" s="20" t="n">
        <v>98722.2</v>
      </c>
      <c r="F22" s="21" t="n">
        <v>16812</v>
      </c>
      <c r="G22" s="20" t="n">
        <v>98722.2</v>
      </c>
      <c r="H22" s="22">
        <f>F22-D22</f>
        <v/>
      </c>
      <c r="I22" s="23" t="n"/>
    </row>
    <row r="23">
      <c r="A23" s="24" t="inlineStr">
        <is>
          <t>Total</t>
        </is>
      </c>
      <c r="B23" s="25" t="n"/>
      <c r="C23" s="26" t="n"/>
      <c r="D23" s="27">
        <f>SUM(D5:D22)</f>
        <v/>
      </c>
      <c r="E23" s="28">
        <f>SUM(E5:E22)</f>
        <v/>
      </c>
      <c r="F23" s="29">
        <f>SUM(F5:F22)</f>
        <v/>
      </c>
      <c r="G23" s="28">
        <f>SUM(G5:G22)</f>
        <v/>
      </c>
    </row>
    <row r="27">
      <c r="G27" s="23">
        <f>G22/G23</f>
        <v/>
      </c>
    </row>
  </sheetData>
  <autoFilter ref="A4:G4">
    <sortState ref="A5:G23">
      <sortCondition ref="C4"/>
    </sortState>
  </autoFilter>
  <mergeCells count="1">
    <mergeCell ref="A1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tabColor rgb="FF00B050"/>
    <outlinePr summaryBelow="1" summaryRight="1"/>
    <pageSetUpPr/>
  </sheetPr>
  <dimension ref="A1:AC41"/>
  <sheetViews>
    <sheetView tabSelected="1" topLeftCell="A14" zoomScale="90" zoomScaleNormal="90" workbookViewId="0">
      <selection activeCell="E14" sqref="E14:G41"/>
    </sheetView>
  </sheetViews>
  <sheetFormatPr baseColWidth="8" defaultRowHeight="14.4"/>
  <cols>
    <col width="5.44140625" customWidth="1" style="3" min="1" max="1"/>
    <col width="7.77734375" bestFit="1" customWidth="1" style="3" min="2" max="2"/>
    <col width="22" bestFit="1" customWidth="1" style="10" min="3" max="3"/>
    <col width="20" bestFit="1" customWidth="1" style="4" min="4" max="4"/>
    <col width="18.5546875" customWidth="1" style="4" min="5" max="5"/>
    <col width="16.88671875" customWidth="1" style="4" min="6" max="6"/>
    <col width="16.77734375" customWidth="1" style="5" min="7" max="7"/>
    <col width="17.21875" customWidth="1" style="4" min="8" max="8"/>
    <col width="16.77734375" customWidth="1" style="4" min="9" max="9"/>
    <col width="17.21875" customWidth="1" style="4" min="10" max="16"/>
    <col width="16.5546875" customWidth="1" style="35" min="17" max="17"/>
    <col width="17" customWidth="1" style="4" min="18" max="18"/>
    <col width="17.21875" customWidth="1" style="4" min="19" max="19"/>
    <col width="16.77734375" customWidth="1" style="4" min="20" max="20"/>
    <col width="17.21875" customWidth="1" style="4" min="21" max="23"/>
    <col width="16.44140625" customWidth="1" style="4" min="24" max="24"/>
    <col width="15.88671875" customWidth="1" style="4" min="25" max="25"/>
    <col width="12.21875" customWidth="1" style="5" min="26" max="26"/>
    <col width="10.21875" customWidth="1" style="5" min="27" max="27"/>
    <col width="8.88671875" customWidth="1" style="5" min="28" max="29"/>
  </cols>
  <sheetData>
    <row r="1" ht="19.5" customHeight="1">
      <c r="A1" s="132" t="inlineStr">
        <is>
          <t>Sonia &amp; Sweaters Ltd.</t>
        </is>
      </c>
      <c r="Z1" s="1" t="n"/>
    </row>
    <row r="2" ht="18" customHeight="1">
      <c r="A2" s="133" t="inlineStr">
        <is>
          <t>KPI For Marchandiser For The Month Of October-2024</t>
        </is>
      </c>
      <c r="Z2" s="2" t="n"/>
    </row>
    <row r="3">
      <c r="C3" s="94" t="inlineStr">
        <is>
          <t>Marking Weight</t>
        </is>
      </c>
      <c r="D3" s="26" t="n"/>
      <c r="E3" s="94" t="inlineStr">
        <is>
          <t>Mark</t>
        </is>
      </c>
      <c r="F3" s="95" t="inlineStr">
        <is>
          <t>Percentage</t>
        </is>
      </c>
      <c r="G3" s="95" t="inlineStr">
        <is>
          <t>Grade</t>
        </is>
      </c>
    </row>
    <row r="4" ht="16.8" customHeight="1">
      <c r="C4" s="137" t="inlineStr">
        <is>
          <t>Exceeds Expectations</t>
        </is>
      </c>
      <c r="D4" s="26" t="n"/>
      <c r="E4" s="95" t="n">
        <v>5</v>
      </c>
      <c r="F4" s="90" t="inlineStr">
        <is>
          <t>90-100</t>
        </is>
      </c>
      <c r="G4" s="12" t="inlineStr">
        <is>
          <t>A</t>
        </is>
      </c>
    </row>
    <row r="5">
      <c r="C5" s="137" t="inlineStr">
        <is>
          <t>Meets Expectations</t>
        </is>
      </c>
      <c r="D5" s="26" t="n"/>
      <c r="E5" s="95" t="n">
        <v>4</v>
      </c>
      <c r="F5" s="91" t="inlineStr">
        <is>
          <t>80-89</t>
        </is>
      </c>
      <c r="G5" s="12" t="inlineStr">
        <is>
          <t>B</t>
        </is>
      </c>
    </row>
    <row r="6">
      <c r="C6" s="137" t="inlineStr">
        <is>
          <t>Marginally Meets Expectations</t>
        </is>
      </c>
      <c r="D6" s="26" t="n"/>
      <c r="E6" s="95" t="n">
        <v>3</v>
      </c>
      <c r="F6" s="92" t="inlineStr">
        <is>
          <t>60-79</t>
        </is>
      </c>
      <c r="G6" s="12" t="inlineStr">
        <is>
          <t>C</t>
        </is>
      </c>
    </row>
    <row r="7">
      <c r="C7" s="137" t="inlineStr">
        <is>
          <t>Significantly Below expectations</t>
        </is>
      </c>
      <c r="D7" s="26" t="n"/>
      <c r="E7" s="95" t="n">
        <v>0</v>
      </c>
      <c r="F7" s="93" t="inlineStr">
        <is>
          <t>0-59</t>
        </is>
      </c>
      <c r="G7" s="12" t="inlineStr">
        <is>
          <t>F</t>
        </is>
      </c>
    </row>
    <row r="8" ht="15" customHeight="1" thickBot="1">
      <c r="C8" s="36" t="n"/>
      <c r="D8" s="36" t="n"/>
      <c r="E8" s="37" t="n"/>
    </row>
    <row r="9">
      <c r="E9" s="124" t="inlineStr">
        <is>
          <t>Production</t>
        </is>
      </c>
      <c r="F9" s="147" t="n"/>
      <c r="G9" s="148" t="n"/>
      <c r="H9" s="124" t="inlineStr">
        <is>
          <t>Planning</t>
        </is>
      </c>
      <c r="I9" s="148" t="n"/>
      <c r="J9" s="124" t="inlineStr">
        <is>
          <t>Yarn</t>
        </is>
      </c>
      <c r="K9" s="147" t="n"/>
      <c r="L9" s="148" t="n"/>
      <c r="M9" s="138" t="inlineStr">
        <is>
          <t>Store</t>
        </is>
      </c>
      <c r="N9" s="147" t="n"/>
      <c r="O9" s="148" t="n"/>
      <c r="P9" s="124" t="inlineStr">
        <is>
          <t>Commercial Dept.</t>
        </is>
      </c>
      <c r="Q9" s="147" t="n"/>
      <c r="R9" s="147" t="n"/>
      <c r="S9" s="148" t="n"/>
      <c r="T9" s="124" t="inlineStr">
        <is>
          <t>ERP</t>
        </is>
      </c>
      <c r="U9" s="148" t="n"/>
      <c r="V9" s="124" t="inlineStr">
        <is>
          <t>HR</t>
        </is>
      </c>
      <c r="W9" s="148" t="n"/>
      <c r="X9" s="61" t="inlineStr">
        <is>
          <t>Reporting Boss</t>
        </is>
      </c>
    </row>
    <row r="10">
      <c r="E10" s="42" t="n">
        <v>1</v>
      </c>
      <c r="F10" s="43" t="n">
        <v>2</v>
      </c>
      <c r="G10" s="44" t="n">
        <v>3</v>
      </c>
      <c r="H10" s="42" t="n">
        <v>4</v>
      </c>
      <c r="I10" s="44" t="n">
        <v>5</v>
      </c>
      <c r="J10" s="42" t="n">
        <v>6</v>
      </c>
      <c r="K10" s="43" t="n">
        <v>7</v>
      </c>
      <c r="L10" s="101" t="n">
        <v>8</v>
      </c>
      <c r="M10" s="42" t="n">
        <v>9</v>
      </c>
      <c r="N10" s="107" t="n">
        <v>10</v>
      </c>
      <c r="O10" s="44" t="n">
        <v>11</v>
      </c>
      <c r="P10" s="42" t="n">
        <v>12</v>
      </c>
      <c r="Q10" s="43" t="n">
        <v>13</v>
      </c>
      <c r="R10" s="43" t="n">
        <v>14</v>
      </c>
      <c r="S10" s="44" t="n">
        <v>15</v>
      </c>
      <c r="T10" s="42" t="n">
        <v>16</v>
      </c>
      <c r="U10" s="44" t="n">
        <v>17</v>
      </c>
      <c r="V10" s="42" t="n">
        <v>18</v>
      </c>
      <c r="W10" s="44" t="n">
        <v>19</v>
      </c>
      <c r="X10" s="42" t="n">
        <v>20</v>
      </c>
    </row>
    <row r="11" ht="82.8" customFormat="1" customHeight="1" s="34">
      <c r="A11" s="128" t="inlineStr">
        <is>
          <t>SL</t>
        </is>
      </c>
      <c r="B11" s="128" t="inlineStr">
        <is>
          <t>ID No</t>
        </is>
      </c>
      <c r="C11" s="126" t="inlineStr">
        <is>
          <t>Merchandiser's Name</t>
        </is>
      </c>
      <c r="D11" s="127" t="inlineStr">
        <is>
          <t>Designation</t>
        </is>
      </c>
      <c r="E11" s="45" t="inlineStr">
        <is>
          <t>Does the merchandiser attend the PP meeting and clarify all points?</t>
        </is>
      </c>
      <c r="F11" s="46" t="inlineStr">
        <is>
          <t>Does the merchandiser provide clear guidelines for any critical buyer comments?</t>
        </is>
      </c>
      <c r="G11" s="47" t="inlineStr">
        <is>
          <t xml:space="preserve">How cooperative is the merchandiser in the case of any production problem?     </t>
        </is>
      </c>
      <c r="H11" s="45" t="inlineStr">
        <is>
          <t>Does the merchandiser provide the forecast quantity and final quantity on time by email?</t>
        </is>
      </c>
      <c r="I11" s="47" t="inlineStr">
        <is>
          <t>TNA</t>
        </is>
      </c>
      <c r="J11" s="45" t="inlineStr">
        <is>
          <t>How cooperative is the merchandiser in case of any yarn problem?</t>
        </is>
      </c>
      <c r="K11" s="46" t="inlineStr">
        <is>
          <t>How efficiently merchandiser can handle yarn problem?</t>
        </is>
      </c>
      <c r="L11" s="47" t="inlineStr">
        <is>
          <t>Does the merchandiser provide clear information for yarn delivery?</t>
        </is>
      </c>
      <c r="M11" s="102" t="inlineStr">
        <is>
          <t>How cooperative is the merchandiser in case of any trims problem?</t>
        </is>
      </c>
      <c r="N11" s="46" t="inlineStr">
        <is>
          <t>How efficiently merchandiser can handle trims problem?</t>
        </is>
      </c>
      <c r="O11" s="47" t="inlineStr">
        <is>
          <t>Does the merchandiser provide clear information for trim delivery?</t>
        </is>
      </c>
      <c r="P11" s="69" t="inlineStr">
        <is>
          <t>Does the relevant merchandiser provide emails in due time for orders as per the ERP system?</t>
        </is>
      </c>
      <c r="Q11" s="46" t="inlineStr">
        <is>
          <t>From the merchandiser do you receive the correct packing list?</t>
        </is>
      </c>
      <c r="R11" s="46" t="inlineStr">
        <is>
          <t>Have the LC documents been received correctly?</t>
        </is>
      </c>
      <c r="S11" s="47" t="inlineStr">
        <is>
          <t>Do you receive clear information from the merchandiser about any imports?</t>
        </is>
      </c>
      <c r="T11" s="45" t="inlineStr">
        <is>
          <t>Accuracy of ERP input</t>
        </is>
      </c>
      <c r="U11" s="47" t="inlineStr">
        <is>
          <t xml:space="preserve">How much is the achievement percentage of targeted production </t>
        </is>
      </c>
      <c r="V11" s="45" t="inlineStr">
        <is>
          <t xml:space="preserve">Are there any disciplinary Actions/Instructions?  </t>
        </is>
      </c>
      <c r="W11" s="47" t="inlineStr">
        <is>
          <t>Punctuality</t>
        </is>
      </c>
      <c r="X11" s="62" t="inlineStr">
        <is>
          <t>How is his overall performance in your opinion?</t>
        </is>
      </c>
      <c r="Y11" s="149" t="inlineStr">
        <is>
          <t>Achieve Mark
(Out of 100)</t>
        </is>
      </c>
      <c r="Z11" s="150" t="inlineStr">
        <is>
          <t>Achieve %</t>
        </is>
      </c>
      <c r="AA11" s="151" t="inlineStr">
        <is>
          <t>Grade</t>
        </is>
      </c>
      <c r="AB11" s="33" t="n"/>
      <c r="AC11" s="33" t="n"/>
    </row>
    <row r="12" ht="83.40000000000001" customFormat="1" customHeight="1" s="34" thickBot="1">
      <c r="A12" s="152" t="n"/>
      <c r="B12" s="152" t="n"/>
      <c r="C12" s="152" t="n"/>
      <c r="D12" s="144" t="n"/>
      <c r="E12" s="78" t="inlineStr">
        <is>
          <t>মার্চেন্ডাইজার কি পিপি মিটিংয়ে উপস্থিত হন এবং সমস্ত পয়েন্ট স্পষ্ট করেন?</t>
        </is>
      </c>
      <c r="F12" s="79" t="inlineStr">
        <is>
          <t>জটিল / গুরুত্বপূর্ণ ক্রেতার ক্ষেত্রে মার্চেন্ডাইজার কি কোনো স্পষ্ট নির্দেশিকা প্রদান করে?</t>
        </is>
      </c>
      <c r="G12" s="80" t="inlineStr">
        <is>
          <t xml:space="preserve">
উৎপাদন সমস্যার ক্ষেত্রে মার্চেন্ডাইজার কতটা সহযোগিতামূলক?</t>
        </is>
      </c>
      <c r="H12" s="78" t="inlineStr">
        <is>
          <t>মার্চেন্ডাইজার কি ইমেইল এর মাধ্যমে সময়মতো সম্ভাব্য অর্ডারের পরিমাণ এবং চূড়ান্ত পরিমাণ প্রদান করে?</t>
        </is>
      </c>
      <c r="I12" s="81" t="inlineStr">
        <is>
          <t>টাইম এন্ড অ্যাকশন</t>
        </is>
      </c>
      <c r="J12" s="104" t="inlineStr">
        <is>
          <t>সুতার সমস্যার ক্ষেত্রে মার্চেন্ডাইজার কতটা সহযোগিতামূলক?</t>
        </is>
      </c>
      <c r="K12" s="105" t="inlineStr">
        <is>
          <t>মার্চেন্ডাইজার কতটা দক্ষতার সাথে সুতার সমস্যা মোকাবেলা করতে পারে?</t>
        </is>
      </c>
      <c r="L12" s="106" t="inlineStr">
        <is>
          <t>মার্চেন্ডাইজার কি সুতা সরবরাহের জন্য স্পষ্ট তথ্য প্রদান করে?</t>
        </is>
      </c>
      <c r="M12" s="103" t="inlineStr">
        <is>
          <t xml:space="preserve"> ট্রিমস সমস্যার ক্ষেত্রে মার্চেন্ডাইজার কতটা সহযোগিতামূলক?</t>
        </is>
      </c>
      <c r="N12" s="79" t="inlineStr">
        <is>
          <t>কতটা দক্ষতার সাথে মার্চেন্ডাইজার ট্রিমস সমস্যা পরিচালনা করতে পারে?</t>
        </is>
      </c>
      <c r="O12" s="81" t="inlineStr">
        <is>
          <t>মার্চেন্ডাইজার কি  ট্রিমস সরবরাহের জন্য স্পষ্ট তথ্য প্রদান করে?</t>
        </is>
      </c>
      <c r="P12" s="82" t="inlineStr">
        <is>
          <t>ERP সিস্টেম অনুযায়ী অর্ডারের জন্য প্রাসঙ্গিক মার্চেন্টাইজার কি সময়মত ইমেল প্রদান করেন?</t>
        </is>
      </c>
      <c r="Q12" s="79" t="inlineStr">
        <is>
          <t>মার্চেন্ডাইজারের কাছ থেকে আপনি কি সঠিক প্যাকিং তালিকা পান?</t>
        </is>
      </c>
      <c r="R12" s="79" t="inlineStr">
        <is>
          <t>এলসি কাগজপত্র সঠিকভাবে গৃহীত হয়েছে?</t>
        </is>
      </c>
      <c r="S12" s="81" t="inlineStr">
        <is>
          <t>আপনি কি  আমদানি সম্পর্কে মার্চেন্ডাইজারের কাছ থেকে স্পষ্ট তথ্য পান?</t>
        </is>
      </c>
      <c r="T12" s="78" t="inlineStr">
        <is>
          <t>নির্ভুল ই আর পি ইনপুট</t>
        </is>
      </c>
      <c r="U12" s="81" t="inlineStr">
        <is>
          <t xml:space="preserve"> এই মাসে টার্গেটেড উৎপাদনের শতকরা হার ( %)</t>
        </is>
      </c>
      <c r="V12" s="78" t="inlineStr">
        <is>
          <t>কোন শাস্তিমূলক ব্যবস্থা/নির্দেশ আছে কি?</t>
        </is>
      </c>
      <c r="W12" s="81" t="inlineStr">
        <is>
          <t>সময়ানুবর্তিতা</t>
        </is>
      </c>
      <c r="X12" s="75" t="inlineStr">
        <is>
          <t>আপনার মতে তার সার্বিক পারফরম্যান্স কেমন?</t>
        </is>
      </c>
      <c r="Y12" s="143" t="n"/>
      <c r="Z12" s="153" t="n"/>
      <c r="AA12" s="153" t="n"/>
      <c r="AB12" s="33" t="n"/>
      <c r="AC12" s="33" t="n"/>
    </row>
    <row r="13" ht="22.2" customFormat="1" customHeight="1" s="6" thickBot="1">
      <c r="A13" s="30" t="n"/>
      <c r="B13" s="31" t="n"/>
      <c r="C13" s="32" t="n"/>
      <c r="D13" s="38" t="inlineStr">
        <is>
          <t>Mark</t>
        </is>
      </c>
      <c r="E13" s="77" t="inlineStr">
        <is>
          <t>Mark Out of (5)</t>
        </is>
      </c>
      <c r="F13" s="89" t="inlineStr">
        <is>
          <t>Mark out of (5)</t>
        </is>
      </c>
      <c r="G13" s="88" t="inlineStr">
        <is>
          <t>Mark Out of (5)</t>
        </is>
      </c>
      <c r="H13" s="88" t="inlineStr">
        <is>
          <t>Mark Out of (5)</t>
        </is>
      </c>
      <c r="I13" s="88" t="inlineStr">
        <is>
          <t>Mark Out of (5)</t>
        </is>
      </c>
      <c r="J13" s="88" t="inlineStr">
        <is>
          <t>Mark Out of (5)</t>
        </is>
      </c>
      <c r="K13" s="88" t="inlineStr">
        <is>
          <t>Mark Out of (5)</t>
        </is>
      </c>
      <c r="L13" s="88" t="inlineStr">
        <is>
          <t>Mark Out of (5)</t>
        </is>
      </c>
      <c r="M13" s="88" t="inlineStr">
        <is>
          <t>Mark Out of (5)</t>
        </is>
      </c>
      <c r="N13" s="88" t="inlineStr">
        <is>
          <t>Mark Out of (5)</t>
        </is>
      </c>
      <c r="O13" s="88" t="inlineStr">
        <is>
          <t>Mark Out of (5)</t>
        </is>
      </c>
      <c r="P13" s="88" t="inlineStr">
        <is>
          <t>Mark Out of (5)</t>
        </is>
      </c>
      <c r="Q13" s="88" t="inlineStr">
        <is>
          <t>Mark Out of (5)</t>
        </is>
      </c>
      <c r="R13" s="88" t="inlineStr">
        <is>
          <t>Mark Out of (5)</t>
        </is>
      </c>
      <c r="S13" s="88" t="inlineStr">
        <is>
          <t>Mark Out of (5)</t>
        </is>
      </c>
      <c r="T13" s="88" t="inlineStr">
        <is>
          <t>Mark Out of (5)</t>
        </is>
      </c>
      <c r="U13" s="88" t="inlineStr">
        <is>
          <t>Mark Out of (5)</t>
        </is>
      </c>
      <c r="V13" s="88" t="inlineStr">
        <is>
          <t>Mark Out of (5)</t>
        </is>
      </c>
      <c r="W13" s="88" t="inlineStr">
        <is>
          <t>Mark Out of (5)</t>
        </is>
      </c>
      <c r="X13" s="77" t="inlineStr">
        <is>
          <t>Mark Out of (5)</t>
        </is>
      </c>
      <c r="Y13" s="146" t="n"/>
      <c r="Z13" s="152" t="n"/>
      <c r="AA13" s="152" t="n"/>
      <c r="AB13" s="3" t="n"/>
      <c r="AC13" s="3" t="n"/>
    </row>
    <row r="14" ht="30" customHeight="1">
      <c r="A14" s="9" t="n">
        <v>1</v>
      </c>
      <c r="B14" s="11" t="inlineStr">
        <is>
          <t>HO-124</t>
        </is>
      </c>
      <c r="C14" s="8" t="inlineStr">
        <is>
          <t>Omar Sadeque Khan</t>
        </is>
      </c>
      <c r="D14" s="39" t="inlineStr">
        <is>
          <t>Sr. Manager</t>
        </is>
      </c>
      <c r="E14" s="83" t="n"/>
      <c r="F14" s="84" t="n"/>
      <c r="G14" s="85" t="n"/>
      <c r="H14" s="96" t="n"/>
      <c r="I14" s="85" t="n"/>
      <c r="J14" s="83" t="n">
        <v>5</v>
      </c>
      <c r="K14" s="86" t="n">
        <v>4</v>
      </c>
      <c r="L14" s="87" t="n">
        <v>4</v>
      </c>
      <c r="M14" s="83" t="n"/>
      <c r="N14" s="86" t="n"/>
      <c r="O14" s="87" t="n"/>
      <c r="P14" s="83" t="n"/>
      <c r="Q14" s="86" t="n"/>
      <c r="R14" s="86" t="n"/>
      <c r="S14" s="87" t="n"/>
      <c r="T14" s="83" t="n"/>
      <c r="U14" s="87" t="n"/>
      <c r="V14" s="83" t="n"/>
      <c r="W14" s="87" t="n"/>
      <c r="X14" s="76" t="n"/>
      <c r="Y14" s="41">
        <f>X14+W14+V14+U14+T14+S14+R14+Q14+P14+O14+N14+M14+L14+K14+J14+I14+H14+G14+F14+E14</f>
        <v/>
      </c>
      <c r="Z14" s="13">
        <f>Y14/100</f>
        <v/>
      </c>
      <c r="AA14" s="14">
        <f>IF(Z14&gt;=90%,"A",IF(Z14&gt;=80%,"B",IF(Z14&gt;=70%,"C",IF(Z14&gt;=50%,"D",IF(Z14&gt;=0%,"0")))))</f>
        <v/>
      </c>
    </row>
    <row r="15" ht="30" customHeight="1">
      <c r="A15" s="11" t="n">
        <v>2</v>
      </c>
      <c r="B15" s="11" t="inlineStr">
        <is>
          <t>HO-16</t>
        </is>
      </c>
      <c r="C15" s="8" t="inlineStr">
        <is>
          <t>Md. Billal Hossain</t>
        </is>
      </c>
      <c r="D15" s="39" t="inlineStr">
        <is>
          <t>Sr. Merchandiser</t>
        </is>
      </c>
      <c r="E15" s="48" t="n"/>
      <c r="F15" s="49" t="n"/>
      <c r="G15" s="50" t="n"/>
      <c r="H15" s="97" t="n"/>
      <c r="I15" s="50" t="n"/>
      <c r="J15" s="48" t="n">
        <v>4</v>
      </c>
      <c r="K15" s="64" t="n">
        <v>3</v>
      </c>
      <c r="L15" s="65" t="n">
        <v>4</v>
      </c>
      <c r="M15" s="48" t="n"/>
      <c r="N15" s="64" t="n"/>
      <c r="O15" s="65" t="n"/>
      <c r="P15" s="70" t="n"/>
      <c r="Q15" s="64" t="n"/>
      <c r="R15" s="64" t="n"/>
      <c r="S15" s="65" t="n"/>
      <c r="T15" s="48" t="n"/>
      <c r="U15" s="65" t="n"/>
      <c r="V15" s="48" t="n"/>
      <c r="W15" s="65" t="n"/>
      <c r="X15" s="73" t="n"/>
      <c r="Y15" s="41">
        <f>X15+W15+V15+U15+T15+S15+R15+Q15+P15+O15+N15+M15+L15+K15+J15+I15+H15+G15+F15+E15</f>
        <v/>
      </c>
      <c r="Z15" s="13">
        <f>Y15/100</f>
        <v/>
      </c>
      <c r="AA15" s="14">
        <f>IF(Z15&gt;=90%,"A",IF(Z15&gt;=80%,"B",IF(Z15&gt;=70%,"C",IF(Z15&gt;=50%,"D",IF(Z15&gt;=0%,"0")))))</f>
        <v/>
      </c>
    </row>
    <row r="16" hidden="1" ht="30" customHeight="1">
      <c r="A16" s="9" t="n">
        <v>3</v>
      </c>
      <c r="B16" s="11" t="inlineStr">
        <is>
          <t>HO-71</t>
        </is>
      </c>
      <c r="C16" s="8" t="inlineStr">
        <is>
          <t>Md. Anisur Rahman</t>
        </is>
      </c>
      <c r="D16" s="39" t="inlineStr">
        <is>
          <t>Merchandiser</t>
        </is>
      </c>
      <c r="E16" s="48" t="n"/>
      <c r="F16" s="49" t="n"/>
      <c r="G16" s="50" t="n"/>
      <c r="H16" s="97" t="n"/>
      <c r="I16" s="50" t="n"/>
      <c r="J16" s="48" t="n"/>
      <c r="K16" s="64" t="n"/>
      <c r="L16" s="65" t="n"/>
      <c r="M16" s="48" t="n"/>
      <c r="N16" s="64" t="n"/>
      <c r="O16" s="65" t="n"/>
      <c r="P16" s="70" t="n"/>
      <c r="Q16" s="64" t="n"/>
      <c r="R16" s="64" t="n"/>
      <c r="S16" s="65" t="n"/>
      <c r="T16" s="48" t="n"/>
      <c r="U16" s="65" t="n"/>
      <c r="V16" s="48" t="n"/>
      <c r="W16" s="65" t="n"/>
      <c r="X16" s="73" t="n"/>
      <c r="Y16" s="41">
        <f>X16+W16+V16+U16+T16+S16+R16+Q16+P16+O16+N16+M16+L16+K16+J16+I16+H16+G16+F16+E16</f>
        <v/>
      </c>
      <c r="Z16" s="13">
        <f>Y16/100</f>
        <v/>
      </c>
      <c r="AA16" s="14">
        <f>IF(Z16&gt;=90%,"A",IF(Z16&gt;=80%,"B",IF(Z16&gt;=70%,"C",IF(Z16&gt;=50%,"D",IF(Z16&gt;=0%,"0")))))</f>
        <v/>
      </c>
    </row>
    <row r="17" hidden="1" ht="30" customHeight="1">
      <c r="A17" s="11" t="n">
        <v>4</v>
      </c>
      <c r="B17" s="11" t="inlineStr">
        <is>
          <t>M-302</t>
        </is>
      </c>
      <c r="C17" s="8" t="inlineStr">
        <is>
          <t>Sheikh Shahriar Arif</t>
        </is>
      </c>
      <c r="D17" s="39" t="inlineStr">
        <is>
          <t>Asst. Merchandiser</t>
        </is>
      </c>
      <c r="E17" s="48" t="n"/>
      <c r="F17" s="49" t="n"/>
      <c r="G17" s="50" t="n"/>
      <c r="H17" s="97" t="n"/>
      <c r="I17" s="50" t="n"/>
      <c r="J17" s="48" t="n"/>
      <c r="K17" s="64" t="n"/>
      <c r="L17" s="65" t="n"/>
      <c r="M17" s="48" t="n"/>
      <c r="N17" s="64" t="n"/>
      <c r="O17" s="65" t="n"/>
      <c r="P17" s="70" t="n"/>
      <c r="Q17" s="64" t="n"/>
      <c r="R17" s="64" t="n"/>
      <c r="S17" s="65" t="n"/>
      <c r="T17" s="48" t="n"/>
      <c r="U17" s="65" t="n"/>
      <c r="V17" s="48" t="n"/>
      <c r="W17" s="65" t="n"/>
      <c r="X17" s="73" t="n"/>
      <c r="Y17" s="41">
        <f>X17+W17+V17+U17+T17+S17+R17+Q17+P17+O17+N17+M17+L17+K17+J17+I17+H17+G17+F17+E17</f>
        <v/>
      </c>
      <c r="Z17" s="13">
        <f>Y17/100</f>
        <v/>
      </c>
      <c r="AA17" s="14">
        <f>IF(Z17&gt;=90%,"A",IF(Z17&gt;=80%,"B",IF(Z17&gt;=70%,"C",IF(Z17&gt;=50%,"D",IF(Z17&gt;=0%,"0")))))</f>
        <v/>
      </c>
    </row>
    <row r="18" hidden="1" ht="30" customHeight="1">
      <c r="A18" s="9" t="n">
        <v>5</v>
      </c>
      <c r="B18" s="11" t="inlineStr">
        <is>
          <t>HO-165</t>
        </is>
      </c>
      <c r="C18" s="8" t="inlineStr">
        <is>
          <t>Md. Mossaddaque Hossain</t>
        </is>
      </c>
      <c r="D18" s="39" t="inlineStr">
        <is>
          <t>Jr. Merchandiser</t>
        </is>
      </c>
      <c r="E18" s="48" t="n"/>
      <c r="F18" s="49" t="n"/>
      <c r="G18" s="50" t="n"/>
      <c r="H18" s="97" t="n"/>
      <c r="I18" s="50" t="n"/>
      <c r="J18" s="48" t="n"/>
      <c r="K18" s="64" t="n"/>
      <c r="L18" s="65" t="n"/>
      <c r="M18" s="48" t="n"/>
      <c r="N18" s="64" t="n"/>
      <c r="O18" s="65" t="n"/>
      <c r="P18" s="70" t="n"/>
      <c r="Q18" s="64" t="n"/>
      <c r="R18" s="64" t="n"/>
      <c r="S18" s="65" t="n"/>
      <c r="T18" s="48" t="n"/>
      <c r="U18" s="65" t="n"/>
      <c r="V18" s="48" t="n"/>
      <c r="W18" s="65" t="n"/>
      <c r="X18" s="73" t="n"/>
      <c r="Y18" s="41">
        <f>X18+W18+V18+U18+T18+S18+R18+Q18+P18+O18+N18+M18+L18+K18+J18+I18+H18+G18+F18+E18</f>
        <v/>
      </c>
      <c r="Z18" s="13">
        <f>Y18/100</f>
        <v/>
      </c>
      <c r="AA18" s="14">
        <f>IF(Z18&gt;=90%,"A",IF(Z18&gt;=80%,"B",IF(Z18&gt;=70%,"C",IF(Z18&gt;=50%,"D",IF(Z18&gt;=0%,"0")))))</f>
        <v/>
      </c>
    </row>
    <row r="19" hidden="1" ht="30" customHeight="1">
      <c r="A19" s="11" t="n">
        <v>6</v>
      </c>
      <c r="B19" s="11" t="inlineStr">
        <is>
          <t>HO-176</t>
        </is>
      </c>
      <c r="C19" s="8" t="inlineStr">
        <is>
          <t>Sajjadur Rahman</t>
        </is>
      </c>
      <c r="D19" s="39" t="inlineStr">
        <is>
          <t>Jr. Merchandiser</t>
        </is>
      </c>
      <c r="E19" s="48" t="n"/>
      <c r="F19" s="49" t="n"/>
      <c r="G19" s="50" t="n"/>
      <c r="H19" s="97" t="n"/>
      <c r="I19" s="50" t="n"/>
      <c r="J19" s="48" t="n"/>
      <c r="K19" s="64" t="n"/>
      <c r="L19" s="65" t="n"/>
      <c r="M19" s="48" t="n"/>
      <c r="N19" s="64" t="n"/>
      <c r="O19" s="65" t="n"/>
      <c r="P19" s="70" t="n"/>
      <c r="Q19" s="64" t="n"/>
      <c r="R19" s="64" t="n"/>
      <c r="S19" s="65" t="n"/>
      <c r="T19" s="48" t="n"/>
      <c r="U19" s="65" t="n"/>
      <c r="V19" s="48" t="n"/>
      <c r="W19" s="65" t="n"/>
      <c r="X19" s="73" t="n"/>
      <c r="Y19" s="41">
        <f>X19+W19+V19+U19+T19+S19+R19+Q19+P19+O19+N19+M19+L19+K19+J19+I19+H19+G19+F19+E19</f>
        <v/>
      </c>
      <c r="Z19" s="13">
        <f>Y19/100</f>
        <v/>
      </c>
      <c r="AA19" s="14">
        <f>IF(Z19&gt;=90%,"A",IF(Z19&gt;=80%,"B",IF(Z19&gt;=70%,"C",IF(Z19&gt;=50%,"D",IF(Z19&gt;=0%,"0")))))</f>
        <v/>
      </c>
    </row>
    <row r="20" ht="30" customHeight="1">
      <c r="A20" s="9" t="n">
        <v>7</v>
      </c>
      <c r="B20" s="11" t="inlineStr">
        <is>
          <t>HO-118</t>
        </is>
      </c>
      <c r="C20" s="8" t="inlineStr">
        <is>
          <t>Nobiqul Islam Khandker Kajal</t>
        </is>
      </c>
      <c r="D20" s="39" t="inlineStr">
        <is>
          <t>Sr. Manager</t>
        </is>
      </c>
      <c r="E20" s="48" t="n"/>
      <c r="F20" s="51" t="n"/>
      <c r="G20" s="52" t="n"/>
      <c r="H20" s="98" t="n"/>
      <c r="I20" s="52" t="n"/>
      <c r="J20" s="48" t="n">
        <v>5</v>
      </c>
      <c r="K20" s="64" t="n">
        <v>5</v>
      </c>
      <c r="L20" s="65" t="n">
        <v>4</v>
      </c>
      <c r="M20" s="48" t="n"/>
      <c r="N20" s="64" t="n"/>
      <c r="O20" s="65" t="n"/>
      <c r="P20" s="70" t="n"/>
      <c r="Q20" s="64" t="n"/>
      <c r="R20" s="64" t="n"/>
      <c r="S20" s="65" t="n"/>
      <c r="T20" s="48" t="n"/>
      <c r="U20" s="65" t="n"/>
      <c r="V20" s="48" t="n"/>
      <c r="W20" s="65" t="n"/>
      <c r="X20" s="73" t="n"/>
      <c r="Y20" s="41">
        <f>X20+W20+V20+U20+T20+S20+R20+Q20+P20+O20+N20+M20+L20+K20+J20+I20+H20+G20+F20+E20</f>
        <v/>
      </c>
      <c r="Z20" s="13">
        <f>Y20/100</f>
        <v/>
      </c>
      <c r="AA20" s="14">
        <f>IF(Z20&gt;=90%,"A",IF(Z20&gt;=80%,"B",IF(Z20&gt;=70%,"C",IF(Z20&gt;=50%,"D",IF(Z20&gt;=0%,"0")))))</f>
        <v/>
      </c>
    </row>
    <row r="21" hidden="1" ht="30" customHeight="1">
      <c r="A21" s="11" t="n">
        <v>8</v>
      </c>
      <c r="B21" s="11" t="inlineStr">
        <is>
          <t>HO-123</t>
        </is>
      </c>
      <c r="C21" s="8" t="inlineStr">
        <is>
          <t>Md. Abdur Rahman Doulat</t>
        </is>
      </c>
      <c r="D21" s="39" t="inlineStr">
        <is>
          <t>Merchandiser Assistant</t>
        </is>
      </c>
      <c r="E21" s="48" t="n"/>
      <c r="F21" s="51" t="n"/>
      <c r="G21" s="52" t="n"/>
      <c r="H21" s="98" t="n"/>
      <c r="I21" s="52" t="n"/>
      <c r="J21" s="48" t="n"/>
      <c r="K21" s="64" t="n"/>
      <c r="L21" s="65" t="n"/>
      <c r="M21" s="48" t="n"/>
      <c r="N21" s="64" t="n"/>
      <c r="O21" s="65" t="n"/>
      <c r="P21" s="70" t="n"/>
      <c r="Q21" s="64" t="n"/>
      <c r="R21" s="64" t="n"/>
      <c r="S21" s="65" t="n"/>
      <c r="T21" s="48" t="n"/>
      <c r="U21" s="65" t="n"/>
      <c r="V21" s="48" t="n"/>
      <c r="W21" s="65" t="n"/>
      <c r="X21" s="73" t="n"/>
      <c r="Y21" s="41">
        <f>X21+W21+V21+U21+T21+S21+R21+Q21+P21+O21+N21+M21+L21+K21+J21+I21+H21+G21+F21+E21</f>
        <v/>
      </c>
      <c r="Z21" s="13">
        <f>Y21/100</f>
        <v/>
      </c>
      <c r="AA21" s="14">
        <f>IF(Z21&gt;=90%,"A",IF(Z21&gt;=80%,"B",IF(Z21&gt;=70%,"C",IF(Z21&gt;=50%,"D",IF(Z21&gt;=0%,"0")))))</f>
        <v/>
      </c>
    </row>
    <row r="22" ht="30" customHeight="1">
      <c r="A22" s="9" t="n">
        <v>9</v>
      </c>
      <c r="B22" s="11" t="inlineStr">
        <is>
          <t>HO-26</t>
        </is>
      </c>
      <c r="C22" s="8" t="inlineStr">
        <is>
          <t>Md. Asaduzzaman</t>
        </is>
      </c>
      <c r="D22" s="39" t="inlineStr">
        <is>
          <t>Sr. Merchandiser</t>
        </is>
      </c>
      <c r="E22" s="48" t="n"/>
      <c r="F22" s="51" t="n"/>
      <c r="G22" s="52" t="n"/>
      <c r="H22" s="98" t="n"/>
      <c r="I22" s="52" t="n"/>
      <c r="J22" s="48" t="n">
        <v>4</v>
      </c>
      <c r="K22" s="64" t="n">
        <v>4</v>
      </c>
      <c r="L22" s="65" t="n">
        <v>3</v>
      </c>
      <c r="M22" s="48" t="n"/>
      <c r="N22" s="64" t="n"/>
      <c r="O22" s="65" t="n"/>
      <c r="P22" s="70" t="n"/>
      <c r="Q22" s="64" t="n"/>
      <c r="R22" s="64" t="n"/>
      <c r="S22" s="65" t="n"/>
      <c r="T22" s="48" t="n"/>
      <c r="U22" s="65" t="n"/>
      <c r="V22" s="48" t="n"/>
      <c r="W22" s="65" t="n"/>
      <c r="X22" s="73" t="n"/>
      <c r="Y22" s="41">
        <f>X22+W22+V22+U22+T22+S22+R22+Q22+P22+O22+N22+M22+L22+K22+J22+I22+H22+G22+F22+E22</f>
        <v/>
      </c>
      <c r="Z22" s="13">
        <f>Y22/100</f>
        <v/>
      </c>
      <c r="AA22" s="14">
        <f>IF(Z22&gt;=90%,"A",IF(Z22&gt;=80%,"B",IF(Z22&gt;=70%,"C",IF(Z22&gt;=50%,"D",IF(Z22&gt;=0%,"0")))))</f>
        <v/>
      </c>
    </row>
    <row r="23" hidden="1" ht="30" customHeight="1">
      <c r="A23" s="11" t="n">
        <v>10</v>
      </c>
      <c r="B23" s="11" t="inlineStr">
        <is>
          <t>HO-98</t>
        </is>
      </c>
      <c r="C23" s="8" t="inlineStr">
        <is>
          <t>Md. Mahafuzur Rahman Khan</t>
        </is>
      </c>
      <c r="D23" s="39" t="inlineStr">
        <is>
          <t>Jr. Merchandiser</t>
        </is>
      </c>
      <c r="E23" s="48" t="n"/>
      <c r="F23" s="49" t="n"/>
      <c r="G23" s="50" t="n"/>
      <c r="H23" s="97" t="n"/>
      <c r="I23" s="50" t="n"/>
      <c r="J23" s="48" t="n"/>
      <c r="K23" s="64" t="n"/>
      <c r="L23" s="65" t="n"/>
      <c r="M23" s="48" t="n"/>
      <c r="N23" s="64" t="n"/>
      <c r="O23" s="65" t="n"/>
      <c r="P23" s="70" t="n"/>
      <c r="Q23" s="64" t="n"/>
      <c r="R23" s="64" t="n"/>
      <c r="S23" s="65" t="n"/>
      <c r="T23" s="48" t="n"/>
      <c r="U23" s="65" t="n"/>
      <c r="V23" s="48" t="n"/>
      <c r="W23" s="65" t="n"/>
      <c r="X23" s="73" t="n"/>
      <c r="Y23" s="41">
        <f>X23+W23+V23+U23+T23+S23+R23+Q23+P23+O23+N23+M23+L23+K23+J23+I23+H23+G23+F23+E23</f>
        <v/>
      </c>
      <c r="Z23" s="13">
        <f>Y23/100</f>
        <v/>
      </c>
      <c r="AA23" s="14">
        <f>IF(Z23&gt;=90%,"A",IF(Z23&gt;=80%,"B",IF(Z23&gt;=70%,"C",IF(Z23&gt;=50%,"D",IF(Z23&gt;=0%,"0")))))</f>
        <v/>
      </c>
    </row>
    <row r="24" hidden="1" ht="30" customHeight="1">
      <c r="A24" s="9" t="n">
        <v>11</v>
      </c>
      <c r="B24" s="11" t="inlineStr">
        <is>
          <t>HO-154</t>
        </is>
      </c>
      <c r="C24" s="8" t="inlineStr">
        <is>
          <t>Md. Habibur Rahman</t>
        </is>
      </c>
      <c r="D24" s="39" t="inlineStr">
        <is>
          <t>Jr. Merchandiser</t>
        </is>
      </c>
      <c r="E24" s="48" t="n"/>
      <c r="F24" s="49" t="n"/>
      <c r="G24" s="50" t="n"/>
      <c r="H24" s="97" t="n"/>
      <c r="I24" s="50" t="n"/>
      <c r="J24" s="48" t="n"/>
      <c r="K24" s="64" t="n"/>
      <c r="L24" s="65" t="n"/>
      <c r="M24" s="48" t="n"/>
      <c r="N24" s="64" t="n"/>
      <c r="O24" s="65" t="n"/>
      <c r="P24" s="70" t="n"/>
      <c r="Q24" s="64" t="n"/>
      <c r="R24" s="64" t="n"/>
      <c r="S24" s="65" t="n"/>
      <c r="T24" s="48" t="n"/>
      <c r="U24" s="65" t="n"/>
      <c r="V24" s="48" t="n"/>
      <c r="W24" s="65" t="n"/>
      <c r="X24" s="73" t="n"/>
      <c r="Y24" s="41">
        <f>X24+W24+V24+U24+T24+S24+R24+Q24+P24+O24+N24+M24+L24+K24+J24+I24+H24+G24+F24+E24</f>
        <v/>
      </c>
      <c r="Z24" s="13">
        <f>Y24/100</f>
        <v/>
      </c>
      <c r="AA24" s="14">
        <f>IF(Z24&gt;=90%,"A",IF(Z24&gt;=80%,"B",IF(Z24&gt;=70%,"C",IF(Z24&gt;=50%,"D",IF(Z24&gt;=0%,"0")))))</f>
        <v/>
      </c>
    </row>
    <row r="25" hidden="1" ht="30" customHeight="1">
      <c r="A25" s="11" t="n">
        <v>12</v>
      </c>
      <c r="B25" s="11" t="inlineStr">
        <is>
          <t>HO-114</t>
        </is>
      </c>
      <c r="C25" s="8" t="inlineStr">
        <is>
          <t>Syed Amran Hossain</t>
        </is>
      </c>
      <c r="D25" s="39" t="inlineStr">
        <is>
          <t>Merchandiser</t>
        </is>
      </c>
      <c r="E25" s="48" t="n"/>
      <c r="F25" s="49" t="n"/>
      <c r="G25" s="50" t="n"/>
      <c r="H25" s="97" t="n"/>
      <c r="I25" s="50" t="n"/>
      <c r="J25" s="48" t="n"/>
      <c r="K25" s="64" t="n"/>
      <c r="L25" s="65" t="n"/>
      <c r="M25" s="48" t="n"/>
      <c r="N25" s="64" t="n"/>
      <c r="O25" s="65" t="n"/>
      <c r="P25" s="70" t="n"/>
      <c r="Q25" s="64" t="n"/>
      <c r="R25" s="64" t="n"/>
      <c r="S25" s="65" t="n"/>
      <c r="T25" s="48" t="n"/>
      <c r="U25" s="65" t="n"/>
      <c r="V25" s="48" t="n"/>
      <c r="W25" s="65" t="n"/>
      <c r="X25" s="73" t="n"/>
      <c r="Y25" s="41">
        <f>X25+W25+V25+U25+T25+S25+R25+Q25+P25+O25+N25+M25+L25+K25+J25+I25+H25+G25+F25+E25</f>
        <v/>
      </c>
      <c r="Z25" s="13">
        <f>Y25/100</f>
        <v/>
      </c>
      <c r="AA25" s="14">
        <f>IF(Z25&gt;=90%,"A",IF(Z25&gt;=80%,"B",IF(Z25&gt;=70%,"C",IF(Z25&gt;=50%,"D",IF(Z25&gt;=0%,"0")))))</f>
        <v/>
      </c>
    </row>
    <row r="26" ht="30" customHeight="1">
      <c r="A26" s="9" t="n">
        <v>13</v>
      </c>
      <c r="B26" s="11" t="inlineStr">
        <is>
          <t>HO-33</t>
        </is>
      </c>
      <c r="C26" s="8" t="inlineStr">
        <is>
          <t>Md. Alamgir Hasan Shibli</t>
        </is>
      </c>
      <c r="D26" s="39" t="inlineStr">
        <is>
          <t>Sr. Manager</t>
        </is>
      </c>
      <c r="E26" s="48" t="n"/>
      <c r="F26" s="51" t="n"/>
      <c r="G26" s="52" t="n"/>
      <c r="H26" s="98" t="n"/>
      <c r="I26" s="52" t="n"/>
      <c r="J26" s="48" t="n">
        <v>3</v>
      </c>
      <c r="K26" s="64" t="n">
        <v>3</v>
      </c>
      <c r="L26" s="65" t="n">
        <v>3</v>
      </c>
      <c r="M26" s="48" t="n"/>
      <c r="N26" s="64" t="n"/>
      <c r="O26" s="65" t="n"/>
      <c r="P26" s="70" t="n"/>
      <c r="Q26" s="64" t="n"/>
      <c r="R26" s="64" t="n"/>
      <c r="S26" s="65" t="n"/>
      <c r="T26" s="48" t="n"/>
      <c r="U26" s="65" t="n"/>
      <c r="V26" s="48" t="n"/>
      <c r="W26" s="65" t="n"/>
      <c r="X26" s="73" t="n"/>
      <c r="Y26" s="41">
        <f>X26+W26+V26+U26+T26+S26+R26+Q26+P26+O26+N26+M26+L26+K26+J26+I26+H26+G26+F26+E26</f>
        <v/>
      </c>
      <c r="Z26" s="13">
        <f>Y26/100</f>
        <v/>
      </c>
      <c r="AA26" s="14">
        <f>IF(Z26&gt;=90%,"A",IF(Z26&gt;=80%,"B",IF(Z26&gt;=70%,"C",IF(Z26&gt;=50%,"D",IF(Z26&gt;=0%,"0")))))</f>
        <v/>
      </c>
    </row>
    <row r="27" hidden="1" ht="30" customHeight="1">
      <c r="A27" s="11" t="n">
        <v>14</v>
      </c>
      <c r="B27" s="11" t="inlineStr">
        <is>
          <t>HO-29</t>
        </is>
      </c>
      <c r="C27" s="8" t="inlineStr">
        <is>
          <t>Md. Tafiqul Islam</t>
        </is>
      </c>
      <c r="D27" s="39" t="inlineStr">
        <is>
          <t>Merchandiser</t>
        </is>
      </c>
      <c r="E27" s="48" t="n"/>
      <c r="F27" s="51" t="n"/>
      <c r="G27" s="52" t="n"/>
      <c r="H27" s="98" t="n"/>
      <c r="I27" s="52" t="n"/>
      <c r="J27" s="48" t="n"/>
      <c r="K27" s="64" t="n"/>
      <c r="L27" s="65" t="n"/>
      <c r="M27" s="48" t="n"/>
      <c r="N27" s="64" t="n"/>
      <c r="O27" s="65" t="n"/>
      <c r="P27" s="70" t="n"/>
      <c r="Q27" s="64" t="n"/>
      <c r="R27" s="64" t="n"/>
      <c r="S27" s="65" t="n"/>
      <c r="T27" s="48" t="n"/>
      <c r="U27" s="65" t="n"/>
      <c r="V27" s="48" t="n"/>
      <c r="W27" s="65" t="n"/>
      <c r="X27" s="73" t="n"/>
      <c r="Y27" s="41">
        <f>X27+W27+V27+U27+T27+S27+R27+Q27+P27+O27+N27+M27+L27+K27+J27+I27+H27+G27+F27+E27</f>
        <v/>
      </c>
      <c r="Z27" s="13">
        <f>Y27/100</f>
        <v/>
      </c>
      <c r="AA27" s="14">
        <f>IF(Z27&gt;=90%,"A",IF(Z27&gt;=80%,"B",IF(Z27&gt;=70%,"C",IF(Z27&gt;=50%,"D",IF(Z27&gt;=0%,"0")))))</f>
        <v/>
      </c>
    </row>
    <row r="28" hidden="1" ht="30" customHeight="1">
      <c r="A28" s="9" t="n">
        <v>15</v>
      </c>
      <c r="B28" s="11" t="inlineStr">
        <is>
          <t>HO-172</t>
        </is>
      </c>
      <c r="C28" s="8" t="inlineStr">
        <is>
          <t>Sabbir Hossen</t>
        </is>
      </c>
      <c r="D28" s="39" t="inlineStr">
        <is>
          <t>Asst. Merchandiser</t>
        </is>
      </c>
      <c r="E28" s="48" t="n"/>
      <c r="F28" s="51" t="n"/>
      <c r="G28" s="52" t="n"/>
      <c r="H28" s="98" t="n"/>
      <c r="I28" s="52" t="n"/>
      <c r="J28" s="48" t="n"/>
      <c r="K28" s="64" t="n"/>
      <c r="L28" s="65" t="n"/>
      <c r="M28" s="48" t="n"/>
      <c r="N28" s="64" t="n"/>
      <c r="O28" s="65" t="n"/>
      <c r="P28" s="70" t="n"/>
      <c r="Q28" s="64" t="n"/>
      <c r="R28" s="64" t="n"/>
      <c r="S28" s="65" t="n"/>
      <c r="T28" s="48" t="n"/>
      <c r="U28" s="65" t="n"/>
      <c r="V28" s="48" t="n"/>
      <c r="W28" s="65" t="n"/>
      <c r="X28" s="73" t="n"/>
      <c r="Y28" s="41">
        <f>X28+W28+V28+U28+T28+S28+R28+Q28+P28+O28+N28+M28+L28+K28+J28+I28+H28+G28+F28+E28</f>
        <v/>
      </c>
      <c r="Z28" s="13">
        <f>Y28/100</f>
        <v/>
      </c>
      <c r="AA28" s="14">
        <f>IF(Z28&gt;=90%,"A",IF(Z28&gt;=80%,"B",IF(Z28&gt;=70%,"C",IF(Z28&gt;=50%,"D",IF(Z28&gt;=0%,"0")))))</f>
        <v/>
      </c>
    </row>
    <row r="29" ht="30" customHeight="1">
      <c r="A29" s="11" t="n">
        <v>16</v>
      </c>
      <c r="B29" s="11" t="inlineStr">
        <is>
          <t>HO-140</t>
        </is>
      </c>
      <c r="C29" s="8" t="inlineStr">
        <is>
          <t>Md. Enjamul Haque</t>
        </is>
      </c>
      <c r="D29" s="39" t="inlineStr">
        <is>
          <t>Merchandiser</t>
        </is>
      </c>
      <c r="E29" s="48" t="n"/>
      <c r="F29" s="51" t="n"/>
      <c r="G29" s="52" t="n"/>
      <c r="H29" s="98" t="n"/>
      <c r="I29" s="52" t="n"/>
      <c r="J29" s="48" t="n">
        <v>4</v>
      </c>
      <c r="K29" s="64" t="n">
        <v>4</v>
      </c>
      <c r="L29" s="65" t="n">
        <v>3</v>
      </c>
      <c r="M29" s="48" t="n"/>
      <c r="N29" s="64" t="n"/>
      <c r="O29" s="65" t="n"/>
      <c r="P29" s="70" t="n"/>
      <c r="Q29" s="64" t="n"/>
      <c r="R29" s="64" t="n"/>
      <c r="S29" s="65" t="n"/>
      <c r="T29" s="48" t="n"/>
      <c r="U29" s="65" t="n"/>
      <c r="V29" s="48" t="n"/>
      <c r="W29" s="65" t="n"/>
      <c r="X29" s="73" t="n"/>
      <c r="Y29" s="41">
        <f>X29+W29+V29+U29+T29+S29+R29+Q29+P29+O29+N29+M29+L29+K29+J29+I29+H29+G29+F29+E29</f>
        <v/>
      </c>
      <c r="Z29" s="13">
        <f>Y29/100</f>
        <v/>
      </c>
      <c r="AA29" s="14">
        <f>IF(Z29&gt;=90%,"A",IF(Z29&gt;=80%,"B",IF(Z29&gt;=70%,"C",IF(Z29&gt;=50%,"D",IF(Z29&gt;=0%,"0")))))</f>
        <v/>
      </c>
    </row>
    <row r="30" hidden="1" ht="30" customHeight="1">
      <c r="A30" s="9" t="n">
        <v>17</v>
      </c>
      <c r="B30" s="11" t="inlineStr">
        <is>
          <t>HO-156</t>
        </is>
      </c>
      <c r="C30" s="8" t="inlineStr">
        <is>
          <t>Ahasan Habib Apu</t>
        </is>
      </c>
      <c r="D30" s="39" t="inlineStr">
        <is>
          <t>Jr. Merchandiser</t>
        </is>
      </c>
      <c r="E30" s="53" t="n"/>
      <c r="F30" s="51" t="n"/>
      <c r="G30" s="52" t="n"/>
      <c r="H30" s="98" t="n"/>
      <c r="I30" s="52" t="n"/>
      <c r="J30" s="53" t="n"/>
      <c r="K30" s="66" t="n"/>
      <c r="L30" s="67" t="n"/>
      <c r="M30" s="53" t="n"/>
      <c r="N30" s="66" t="n"/>
      <c r="O30" s="67" t="n"/>
      <c r="P30" s="71" t="n"/>
      <c r="Q30" s="66" t="n"/>
      <c r="R30" s="66" t="n"/>
      <c r="S30" s="67" t="n"/>
      <c r="T30" s="53" t="n"/>
      <c r="U30" s="67" t="n"/>
      <c r="V30" s="53" t="n"/>
      <c r="W30" s="67" t="n"/>
      <c r="X30" s="74" t="n"/>
      <c r="Y30" s="41">
        <f>X30+W30+V30+U30+T30+S30+R30+Q30+P30+O30+N30+M30+L30+K30+J30+I30+H30+G30+F30+E30</f>
        <v/>
      </c>
      <c r="Z30" s="13">
        <f>Y30/100</f>
        <v/>
      </c>
      <c r="AA30" s="14">
        <f>IF(Z30&gt;=90%,"A",IF(Z30&gt;=80%,"B",IF(Z30&gt;=70%,"C",IF(Z30&gt;=50%,"D",IF(Z30&gt;=0%,"0")))))</f>
        <v/>
      </c>
    </row>
    <row r="31" ht="30" customHeight="1">
      <c r="A31" s="11" t="n">
        <v>18</v>
      </c>
      <c r="B31" s="11" t="inlineStr">
        <is>
          <t>HO-86</t>
        </is>
      </c>
      <c r="C31" s="8" t="inlineStr">
        <is>
          <t>Muhammad Junayed Hossain</t>
        </is>
      </c>
      <c r="D31" s="39" t="inlineStr">
        <is>
          <t>Merchandiser</t>
        </is>
      </c>
      <c r="E31" s="53" t="n"/>
      <c r="F31" s="51" t="n"/>
      <c r="G31" s="52" t="n"/>
      <c r="H31" s="98" t="n"/>
      <c r="I31" s="52" t="n"/>
      <c r="J31" s="53" t="n">
        <v>4</v>
      </c>
      <c r="K31" s="66" t="n">
        <v>3</v>
      </c>
      <c r="L31" s="67" t="n">
        <v>4</v>
      </c>
      <c r="M31" s="53" t="n"/>
      <c r="N31" s="66" t="n"/>
      <c r="O31" s="67" t="n"/>
      <c r="P31" s="71" t="n"/>
      <c r="Q31" s="66" t="n"/>
      <c r="R31" s="66" t="n"/>
      <c r="S31" s="67" t="n"/>
      <c r="T31" s="53" t="n"/>
      <c r="U31" s="67" t="n"/>
      <c r="V31" s="53" t="n"/>
      <c r="W31" s="67" t="n"/>
      <c r="X31" s="74" t="n"/>
      <c r="Y31" s="41">
        <f>X31+W31+V31+U31+T31+S31+R31+Q31+P31+O31+N31+M31+L31+K31+J31+I31+H31+G31+F31+E31</f>
        <v/>
      </c>
      <c r="Z31" s="13">
        <f>Y31/100</f>
        <v/>
      </c>
      <c r="AA31" s="14">
        <f>IF(Z31&gt;=90%,"A",IF(Z31&gt;=80%,"B",IF(Z31&gt;=70%,"C",IF(Z31&gt;=50%,"D",IF(Z31&gt;=0%,"0")))))</f>
        <v/>
      </c>
    </row>
    <row r="32" hidden="1" ht="30" customHeight="1">
      <c r="A32" s="9" t="n">
        <v>19</v>
      </c>
      <c r="B32" s="11" t="inlineStr">
        <is>
          <t>HO-20</t>
        </is>
      </c>
      <c r="C32" s="8" t="inlineStr">
        <is>
          <t>Golam Zakaria Sumon</t>
        </is>
      </c>
      <c r="D32" s="39" t="inlineStr">
        <is>
          <t>Asst. Merchandiser</t>
        </is>
      </c>
      <c r="E32" s="53" t="n"/>
      <c r="F32" s="54" t="n"/>
      <c r="G32" s="55" t="n"/>
      <c r="H32" s="99" t="n"/>
      <c r="I32" s="55" t="n"/>
      <c r="J32" s="53" t="n"/>
      <c r="K32" s="66" t="n"/>
      <c r="L32" s="67" t="n"/>
      <c r="M32" s="53" t="n"/>
      <c r="N32" s="66" t="n"/>
      <c r="O32" s="67" t="n"/>
      <c r="P32" s="71" t="n"/>
      <c r="Q32" s="66" t="n"/>
      <c r="R32" s="66" t="n"/>
      <c r="S32" s="67" t="n"/>
      <c r="T32" s="53" t="n"/>
      <c r="U32" s="67" t="n"/>
      <c r="V32" s="53" t="n"/>
      <c r="W32" s="67" t="n"/>
      <c r="X32" s="74" t="n"/>
      <c r="Y32" s="41">
        <f>X32+W32+V32+U32+T32+S32+R32+Q32+P32+O32+N32+M32+L32+K32+J32+I32+H32+G32+F32+E32</f>
        <v/>
      </c>
      <c r="Z32" s="13">
        <f>Y32/100</f>
        <v/>
      </c>
      <c r="AA32" s="14">
        <f>IF(Z32&gt;=90%,"A",IF(Z32&gt;=80%,"B",IF(Z32&gt;=70%,"C",IF(Z32&gt;=50%,"D",IF(Z32&gt;=0%,"0")))))</f>
        <v/>
      </c>
    </row>
    <row r="33" hidden="1" ht="30" customHeight="1">
      <c r="A33" s="11" t="n">
        <v>20</v>
      </c>
      <c r="B33" s="11" t="inlineStr">
        <is>
          <t>HO-181</t>
        </is>
      </c>
      <c r="C33" s="8" t="inlineStr">
        <is>
          <t>Md. Khaled Mahmud Hasan</t>
        </is>
      </c>
      <c r="D33" s="39" t="inlineStr">
        <is>
          <t>Asst. Merchandiser</t>
        </is>
      </c>
      <c r="E33" s="53" t="n"/>
      <c r="F33" s="54" t="n"/>
      <c r="G33" s="55" t="n"/>
      <c r="H33" s="99" t="n"/>
      <c r="I33" s="55" t="n"/>
      <c r="J33" s="53" t="n"/>
      <c r="K33" s="66" t="n"/>
      <c r="L33" s="67" t="n"/>
      <c r="M33" s="53" t="n"/>
      <c r="N33" s="66" t="n"/>
      <c r="O33" s="67" t="n"/>
      <c r="P33" s="71" t="n"/>
      <c r="Q33" s="66" t="n"/>
      <c r="R33" s="66" t="n"/>
      <c r="S33" s="67" t="n"/>
      <c r="T33" s="53" t="n"/>
      <c r="U33" s="67" t="n"/>
      <c r="V33" s="53" t="n"/>
      <c r="W33" s="67" t="n"/>
      <c r="X33" s="74" t="n"/>
      <c r="Y33" s="41">
        <f>X33+W33+V33+U33+T33+S33+R33+Q33+P33+O33+N33+M33+L33+K33+J33+I33+H33+G33+F33+E33</f>
        <v/>
      </c>
      <c r="Z33" s="13">
        <f>Y33/100</f>
        <v/>
      </c>
      <c r="AA33" s="14">
        <f>IF(Z33&gt;=90%,"A",IF(Z33&gt;=80%,"B",IF(Z33&gt;=70%,"C",IF(Z33&gt;=50%,"D",IF(Z33&gt;=0%,"0")))))</f>
        <v/>
      </c>
    </row>
    <row r="34" hidden="1" ht="30" customHeight="1">
      <c r="A34" s="9" t="n">
        <v>21</v>
      </c>
      <c r="B34" s="11" t="inlineStr">
        <is>
          <t>HO-175</t>
        </is>
      </c>
      <c r="C34" s="8" t="inlineStr">
        <is>
          <t>Md. Obaidul Haque</t>
        </is>
      </c>
      <c r="D34" s="39" t="inlineStr">
        <is>
          <t>Asst. Manager</t>
        </is>
      </c>
      <c r="E34" s="53" t="n"/>
      <c r="F34" s="51" t="n"/>
      <c r="G34" s="52" t="n"/>
      <c r="H34" s="98" t="n"/>
      <c r="I34" s="52" t="n"/>
      <c r="J34" s="53" t="n"/>
      <c r="K34" s="66" t="n"/>
      <c r="L34" s="67" t="n"/>
      <c r="M34" s="53" t="n"/>
      <c r="N34" s="66" t="n"/>
      <c r="O34" s="67" t="n"/>
      <c r="P34" s="71" t="n"/>
      <c r="Q34" s="66" t="n"/>
      <c r="R34" s="66" t="n"/>
      <c r="S34" s="67" t="n"/>
      <c r="T34" s="53" t="n"/>
      <c r="U34" s="67" t="n"/>
      <c r="V34" s="53" t="n"/>
      <c r="W34" s="67" t="n"/>
      <c r="X34" s="74" t="n"/>
      <c r="Y34" s="41">
        <f>X34+W34+V34+U34+T34+S34+R34+Q34+P34+O34+N34+M34+L34+K34+J34+I34+H34+G34+F34+E34</f>
        <v/>
      </c>
      <c r="Z34" s="13">
        <f>Y34/100</f>
        <v/>
      </c>
      <c r="AA34" s="14">
        <f>IF(Z34&gt;=90%,"A",IF(Z34&gt;=80%,"B",IF(Z34&gt;=70%,"C",IF(Z34&gt;=50%,"D",IF(Z34&gt;=0%,"0")))))</f>
        <v/>
      </c>
    </row>
    <row r="35" ht="30" customHeight="1">
      <c r="A35" s="11" t="n">
        <v>22</v>
      </c>
      <c r="B35" s="11" t="inlineStr">
        <is>
          <t>HO-10</t>
        </is>
      </c>
      <c r="C35" s="8" t="inlineStr">
        <is>
          <t>Md. Farhad Hossain</t>
        </is>
      </c>
      <c r="D35" s="39" t="inlineStr">
        <is>
          <t>Merchandiser</t>
        </is>
      </c>
      <c r="E35" s="53" t="n"/>
      <c r="F35" s="56" t="n"/>
      <c r="G35" s="57" t="n"/>
      <c r="H35" s="100" t="n"/>
      <c r="I35" s="57" t="n"/>
      <c r="J35" s="53" t="n">
        <v>4</v>
      </c>
      <c r="K35" s="66" t="n">
        <v>3</v>
      </c>
      <c r="L35" s="67" t="n">
        <v>4</v>
      </c>
      <c r="M35" s="53" t="n"/>
      <c r="N35" s="66" t="n"/>
      <c r="O35" s="67" t="n"/>
      <c r="P35" s="71" t="n"/>
      <c r="Q35" s="66" t="n"/>
      <c r="R35" s="66" t="n"/>
      <c r="S35" s="67" t="n"/>
      <c r="T35" s="53" t="n"/>
      <c r="U35" s="67" t="n"/>
      <c r="V35" s="53" t="n"/>
      <c r="W35" s="67" t="n"/>
      <c r="X35" s="74" t="n"/>
      <c r="Y35" s="41">
        <f>X35+W35+V35+U35+T35+S35+R35+Q35+P35+O35+N35+M35+L35+K35+J35+I35+H35+G35+F35+E35</f>
        <v/>
      </c>
      <c r="Z35" s="13">
        <f>Y35/100</f>
        <v/>
      </c>
      <c r="AA35" s="14">
        <f>IF(Z35&gt;=90%,"A",IF(Z35&gt;=80%,"B",IF(Z35&gt;=70%,"C",IF(Z35&gt;=50%,"D",IF(Z35&gt;=0%,"0")))))</f>
        <v/>
      </c>
    </row>
    <row r="36" ht="30" customHeight="1">
      <c r="A36" s="9" t="n">
        <v>23</v>
      </c>
      <c r="B36" s="11" t="inlineStr">
        <is>
          <t>HO-170</t>
        </is>
      </c>
      <c r="C36" s="8" t="inlineStr">
        <is>
          <t>Md. Jony Uddin</t>
        </is>
      </c>
      <c r="D36" s="39" t="inlineStr">
        <is>
          <t>Sr. Merchandiser</t>
        </is>
      </c>
      <c r="E36" s="53" t="n"/>
      <c r="F36" s="51" t="n"/>
      <c r="G36" s="52" t="n"/>
      <c r="H36" s="98" t="n"/>
      <c r="I36" s="52" t="n"/>
      <c r="J36" s="53" t="n">
        <v>3</v>
      </c>
      <c r="K36" s="66" t="n">
        <v>3</v>
      </c>
      <c r="L36" s="67" t="n">
        <v>4</v>
      </c>
      <c r="M36" s="53" t="n"/>
      <c r="N36" s="66" t="n"/>
      <c r="O36" s="67" t="n"/>
      <c r="P36" s="71" t="n"/>
      <c r="Q36" s="66" t="n"/>
      <c r="R36" s="66" t="n"/>
      <c r="S36" s="67" t="n"/>
      <c r="T36" s="53" t="n"/>
      <c r="U36" s="67" t="n"/>
      <c r="V36" s="53" t="n"/>
      <c r="W36" s="67" t="n"/>
      <c r="X36" s="74" t="n"/>
      <c r="Y36" s="41">
        <f>X36+W36+V36+U36+T36+S36+R36+Q36+P36+O36+N36+M36+L36+K36+J36+I36+H36+G36+F36+E36</f>
        <v/>
      </c>
      <c r="Z36" s="13">
        <f>Y36/100</f>
        <v/>
      </c>
      <c r="AA36" s="14">
        <f>IF(Z36&gt;=90%,"A",IF(Z36&gt;=80%,"B",IF(Z36&gt;=70%,"C",IF(Z36&gt;=50%,"D",IF(Z36&gt;=0%,"0")))))</f>
        <v/>
      </c>
    </row>
    <row r="37" hidden="1" ht="30" customHeight="1">
      <c r="A37" s="11" t="n">
        <v>24</v>
      </c>
      <c r="B37" s="11" t="inlineStr">
        <is>
          <t>HO-182</t>
        </is>
      </c>
      <c r="C37" s="8" t="inlineStr">
        <is>
          <t>Md. Zahid Hassan</t>
        </is>
      </c>
      <c r="D37" s="39" t="inlineStr">
        <is>
          <t>Asst. Merchandiser</t>
        </is>
      </c>
      <c r="E37" s="53" t="n"/>
      <c r="F37" s="56" t="n"/>
      <c r="G37" s="57" t="n"/>
      <c r="H37" s="100" t="n"/>
      <c r="I37" s="57" t="n"/>
      <c r="J37" s="53" t="n"/>
      <c r="K37" s="66" t="n"/>
      <c r="L37" s="67" t="n"/>
      <c r="M37" s="53" t="n"/>
      <c r="N37" s="66" t="n"/>
      <c r="O37" s="67" t="n"/>
      <c r="P37" s="71" t="n"/>
      <c r="Q37" s="66" t="n"/>
      <c r="R37" s="66" t="n"/>
      <c r="S37" s="67" t="n"/>
      <c r="T37" s="53" t="n"/>
      <c r="U37" s="67" t="n"/>
      <c r="V37" s="53" t="n"/>
      <c r="W37" s="67" t="n"/>
      <c r="X37" s="74" t="n"/>
      <c r="Y37" s="41">
        <f>X37+W37+V37+U37+T37+S37+R37+Q37+P37+O37+N37+M37+L37+K37+J37+I37+H37+G37+F37+E37</f>
        <v/>
      </c>
      <c r="Z37" s="13">
        <f>Y37/100</f>
        <v/>
      </c>
      <c r="AA37" s="14">
        <f>IF(Z37&gt;=90%,"A",IF(Z37&gt;=80%,"B",IF(Z37&gt;=70%,"C",IF(Z37&gt;=50%,"D",IF(Z37&gt;=0%,"0")))))</f>
        <v/>
      </c>
    </row>
    <row r="38" ht="30" customHeight="1">
      <c r="A38" s="9" t="n">
        <v>25</v>
      </c>
      <c r="B38" s="9" t="inlineStr">
        <is>
          <t>HO-145</t>
        </is>
      </c>
      <c r="C38" s="7" t="inlineStr">
        <is>
          <t>Mahin Ahmed</t>
        </is>
      </c>
      <c r="D38" s="40" t="inlineStr">
        <is>
          <t>Jr. Merchandiser</t>
        </is>
      </c>
      <c r="E38" s="53" t="n"/>
      <c r="F38" s="51" t="n"/>
      <c r="G38" s="52" t="n"/>
      <c r="H38" s="98" t="n"/>
      <c r="I38" s="52" t="n"/>
      <c r="J38" s="53" t="n">
        <v>3</v>
      </c>
      <c r="K38" s="66" t="n">
        <v>3</v>
      </c>
      <c r="L38" s="67" t="n">
        <v>3</v>
      </c>
      <c r="M38" s="53" t="n"/>
      <c r="N38" s="66" t="n"/>
      <c r="O38" s="67" t="n"/>
      <c r="P38" s="71" t="n"/>
      <c r="Q38" s="66" t="n"/>
      <c r="R38" s="66" t="n"/>
      <c r="S38" s="67" t="n"/>
      <c r="T38" s="53" t="n"/>
      <c r="U38" s="67" t="n"/>
      <c r="V38" s="53" t="n"/>
      <c r="W38" s="67" t="n"/>
      <c r="X38" s="74" t="n"/>
      <c r="Y38" s="41">
        <f>X38+W38+V38+U38+T38+S38+R38+Q38+P38+O38+N38+M38+L38+K38+J38+I38+H38+G38+F38+E38</f>
        <v/>
      </c>
      <c r="Z38" s="13">
        <f>Y38/100</f>
        <v/>
      </c>
      <c r="AA38" s="14">
        <f>IF(Z38&gt;=90%,"A",IF(Z38&gt;=80%,"B",IF(Z38&gt;=70%,"C",IF(Z38&gt;=50%,"D",IF(Z38&gt;=0%,"0")))))</f>
        <v/>
      </c>
    </row>
    <row r="39" ht="30" customHeight="1">
      <c r="A39" s="11" t="n">
        <v>26</v>
      </c>
      <c r="B39" s="9" t="inlineStr">
        <is>
          <t>HO-127</t>
        </is>
      </c>
      <c r="C39" s="7" t="inlineStr">
        <is>
          <t>Md. Arifuzzaman</t>
        </is>
      </c>
      <c r="D39" s="40" t="inlineStr">
        <is>
          <t>Merchandiser</t>
        </is>
      </c>
      <c r="E39" s="53" t="n"/>
      <c r="F39" s="51" t="n"/>
      <c r="G39" s="52" t="n"/>
      <c r="H39" s="98" t="n"/>
      <c r="I39" s="52" t="n"/>
      <c r="J39" s="53" t="n">
        <v>3</v>
      </c>
      <c r="K39" s="66" t="n">
        <v>3</v>
      </c>
      <c r="L39" s="67" t="n">
        <v>3</v>
      </c>
      <c r="M39" s="53" t="n"/>
      <c r="N39" s="66" t="n"/>
      <c r="O39" s="67" t="n"/>
      <c r="P39" s="71" t="n"/>
      <c r="Q39" s="66" t="n"/>
      <c r="R39" s="66" t="n"/>
      <c r="S39" s="67" t="n"/>
      <c r="T39" s="53" t="n"/>
      <c r="U39" s="67" t="n"/>
      <c r="V39" s="53" t="n"/>
      <c r="W39" s="67" t="n"/>
      <c r="X39" s="74" t="n"/>
      <c r="Y39" s="41">
        <f>X39+W39+V39+U39+T39+S39+R39+Q39+P39+O39+N39+M39+L39+K39+J39+I39+H39+G39+F39+E39</f>
        <v/>
      </c>
      <c r="Z39" s="13">
        <f>Y39/100</f>
        <v/>
      </c>
      <c r="AA39" s="14">
        <f>IF(Z39&gt;=90%,"A",IF(Z39&gt;=80%,"B",IF(Z39&gt;=70%,"C",IF(Z39&gt;=50%,"D",IF(Z39&gt;=0%,"0")))))</f>
        <v/>
      </c>
    </row>
    <row r="40" ht="30" customHeight="1">
      <c r="A40" s="9" t="n">
        <v>27</v>
      </c>
      <c r="B40" s="9" t="inlineStr">
        <is>
          <t>HO-178</t>
        </is>
      </c>
      <c r="C40" s="7" t="inlineStr">
        <is>
          <t>Md. Bellal Hossain Helal</t>
        </is>
      </c>
      <c r="D40" s="40" t="inlineStr">
        <is>
          <t>Manager</t>
        </is>
      </c>
      <c r="E40" s="53" t="n"/>
      <c r="F40" s="51" t="n"/>
      <c r="G40" s="52" t="n"/>
      <c r="H40" s="98" t="n"/>
      <c r="I40" s="52" t="n"/>
      <c r="J40" s="53" t="n">
        <v>0</v>
      </c>
      <c r="K40" s="66" t="n">
        <v>0</v>
      </c>
      <c r="L40" s="67" t="n">
        <v>0</v>
      </c>
      <c r="M40" s="53" t="n"/>
      <c r="N40" s="66" t="n"/>
      <c r="O40" s="67" t="n"/>
      <c r="P40" s="71" t="n"/>
      <c r="Q40" s="66" t="n"/>
      <c r="R40" s="66" t="n"/>
      <c r="S40" s="67" t="n"/>
      <c r="T40" s="53" t="n"/>
      <c r="U40" s="67" t="n"/>
      <c r="V40" s="53" t="n"/>
      <c r="W40" s="67" t="n"/>
      <c r="X40" s="74" t="n"/>
      <c r="Y40" s="41">
        <f>X40+W40+V40+U40+T40+S40+R40+Q40+P40+O40+N40+M40+L40+K40+J40+I40+H40+G40+F40+E40</f>
        <v/>
      </c>
      <c r="Z40" s="13">
        <f>Y40/100</f>
        <v/>
      </c>
      <c r="AA40" s="14">
        <f>IF(Z40&gt;=90%,"A",IF(Z40&gt;=80%,"B",IF(Z40&gt;=70%,"C",IF(Z40&gt;=50%,"D",IF(Z40&gt;=0%,"0")))))</f>
        <v/>
      </c>
    </row>
    <row r="41" ht="28.8" customFormat="1" customHeight="1" s="16" thickBot="1">
      <c r="A41" s="11" t="n">
        <v>28</v>
      </c>
      <c r="B41" s="9" t="inlineStr">
        <is>
          <t>HO-170</t>
        </is>
      </c>
      <c r="C41" s="7" t="inlineStr">
        <is>
          <t>Md. Sazzad Hossain</t>
        </is>
      </c>
      <c r="D41" s="40" t="inlineStr">
        <is>
          <t>Manager</t>
        </is>
      </c>
      <c r="E41" s="108" t="n"/>
      <c r="F41" s="59" t="n"/>
      <c r="G41" s="60" t="n"/>
      <c r="H41" s="58" t="n"/>
      <c r="I41" s="60" t="n"/>
      <c r="J41" s="58" t="n">
        <v>3</v>
      </c>
      <c r="K41" s="68" t="n">
        <v>3</v>
      </c>
      <c r="L41" s="60" t="n">
        <v>3</v>
      </c>
      <c r="M41" s="58" t="n"/>
      <c r="N41" s="68" t="n"/>
      <c r="O41" s="60" t="n"/>
      <c r="P41" s="72" t="n"/>
      <c r="Q41" s="68" t="n"/>
      <c r="R41" s="68" t="n"/>
      <c r="S41" s="60" t="n"/>
      <c r="T41" s="58" t="n"/>
      <c r="U41" s="60" t="n"/>
      <c r="V41" s="58" t="n"/>
      <c r="W41" s="60" t="n"/>
      <c r="X41" s="63" t="n"/>
      <c r="Y41" s="41">
        <f>X41+W41+V41+U41+T41+S41+R41+Q41+P41+O41+N41+M41+L41+K41+J41+I41+H41+G41+F41+E41</f>
        <v/>
      </c>
      <c r="Z41" s="13">
        <f>Y41/100</f>
        <v/>
      </c>
      <c r="AA41" s="14">
        <f>IF(Z41&gt;=90%,"A",IF(Z41&gt;=80%,"B",IF(Z41&gt;=70%,"C",IF(Z41&gt;=50%,"D",IF(Z41&gt;=0%,"0")))))</f>
        <v/>
      </c>
      <c r="AB41" s="5" t="n"/>
    </row>
  </sheetData>
  <autoFilter ref="A13:AC41">
    <filterColumn colId="4" hiddenButton="0" showButton="1">
      <customFilters>
        <customFilter val=" " operator="notEqual"/>
      </customFilters>
    </filterColumn>
  </autoFilter>
  <mergeCells count="21">
    <mergeCell ref="A2:Y2"/>
    <mergeCell ref="C6:D6"/>
    <mergeCell ref="C5:D5"/>
    <mergeCell ref="B11:B12"/>
    <mergeCell ref="E9:G9"/>
    <mergeCell ref="D11:D12"/>
    <mergeCell ref="H9:I9"/>
    <mergeCell ref="C4:D4"/>
    <mergeCell ref="AA11:AA13"/>
    <mergeCell ref="C11:C12"/>
    <mergeCell ref="T9:U9"/>
    <mergeCell ref="V9:W9"/>
    <mergeCell ref="P9:S9"/>
    <mergeCell ref="Z11:Z13"/>
    <mergeCell ref="A1:Y1"/>
    <mergeCell ref="C7:D7"/>
    <mergeCell ref="M9:O9"/>
    <mergeCell ref="Y11:Y13"/>
    <mergeCell ref="J9:L9"/>
    <mergeCell ref="C3:D3"/>
    <mergeCell ref="A11:A1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tabColor rgb="FF00B050"/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4.4"/>
  <cols>
    <col width="5.44140625" customWidth="1" style="3" min="1" max="1"/>
    <col width="7.77734375" bestFit="1" customWidth="1" style="3" min="2" max="2"/>
    <col width="22" bestFit="1" customWidth="1" style="10" min="3" max="3"/>
    <col width="20" bestFit="1" customWidth="1" style="4" min="4" max="4"/>
    <col width="18.5546875" customWidth="1" style="4" min="5" max="5"/>
    <col width="16.88671875" customWidth="1" style="4" min="6" max="6"/>
    <col width="16.77734375" customWidth="1" style="5" min="7" max="7"/>
    <col width="17.21875" customWidth="1" style="4" min="8" max="8"/>
    <col width="16.77734375" customWidth="1" style="4" min="9" max="9"/>
    <col width="17.21875" customWidth="1" style="4" min="10" max="16"/>
    <col width="16.5546875" customWidth="1" style="35" min="17" max="17"/>
    <col width="17" customWidth="1" style="4" min="18" max="18"/>
    <col width="17.21875" customWidth="1" style="4" min="19" max="19"/>
    <col width="16.77734375" customWidth="1" style="4" min="20" max="20"/>
    <col width="17.21875" customWidth="1" style="4" min="21" max="23"/>
    <col width="16.44140625" customWidth="1" style="4" min="24" max="24"/>
    <col width="15.88671875" customWidth="1" style="4" min="25" max="25"/>
    <col width="12.21875" customWidth="1" style="5" min="26" max="26"/>
    <col width="10.21875" customWidth="1" style="5" min="27" max="27"/>
    <col width="8.88671875" customWidth="1" style="5" min="28" max="29"/>
  </cols>
  <sheetData>
    <row r="1" ht="19.5" customHeight="1">
      <c r="A1" s="132" t="inlineStr">
        <is>
          <t>Sonia &amp; Sweaters Ltd.</t>
        </is>
      </c>
      <c r="Z1" s="1" t="n"/>
    </row>
    <row r="2" ht="18" customHeight="1">
      <c r="A2" s="133" t="inlineStr">
        <is>
          <t>KPI For Marchandiser For The Month Of October-2024</t>
        </is>
      </c>
      <c r="Z2" s="2" t="n"/>
    </row>
    <row r="3">
      <c r="C3" s="94" t="inlineStr">
        <is>
          <t>Marking Weight</t>
        </is>
      </c>
      <c r="D3" s="26" t="n"/>
      <c r="E3" s="94" t="inlineStr">
        <is>
          <t>Mark</t>
        </is>
      </c>
      <c r="F3" s="95" t="inlineStr">
        <is>
          <t>Percentage</t>
        </is>
      </c>
      <c r="G3" s="95" t="inlineStr">
        <is>
          <t>Grade</t>
        </is>
      </c>
    </row>
    <row r="4" ht="16.8" customHeight="1">
      <c r="C4" s="137" t="inlineStr">
        <is>
          <t>Exceeds Expectations</t>
        </is>
      </c>
      <c r="D4" s="26" t="n"/>
      <c r="E4" s="95" t="n">
        <v>5</v>
      </c>
      <c r="F4" s="90" t="inlineStr">
        <is>
          <t>90-100</t>
        </is>
      </c>
      <c r="G4" s="12" t="inlineStr">
        <is>
          <t>A</t>
        </is>
      </c>
    </row>
    <row r="5">
      <c r="C5" s="137" t="inlineStr">
        <is>
          <t>Meets Expectations</t>
        </is>
      </c>
      <c r="D5" s="26" t="n"/>
      <c r="E5" s="95" t="n">
        <v>4</v>
      </c>
      <c r="F5" s="91" t="inlineStr">
        <is>
          <t>80-89</t>
        </is>
      </c>
      <c r="G5" s="12" t="inlineStr">
        <is>
          <t>B</t>
        </is>
      </c>
    </row>
    <row r="6">
      <c r="C6" s="137" t="inlineStr">
        <is>
          <t>Marginally Meets Expectations</t>
        </is>
      </c>
      <c r="D6" s="26" t="n"/>
      <c r="E6" s="95" t="n">
        <v>3</v>
      </c>
      <c r="F6" s="92" t="inlineStr">
        <is>
          <t>60-79</t>
        </is>
      </c>
      <c r="G6" s="12" t="inlineStr">
        <is>
          <t>C</t>
        </is>
      </c>
    </row>
    <row r="7">
      <c r="C7" s="137" t="inlineStr">
        <is>
          <t>Significantly Below expectations</t>
        </is>
      </c>
      <c r="D7" s="26" t="n"/>
      <c r="E7" s="95" t="n">
        <v>0</v>
      </c>
      <c r="F7" s="93" t="inlineStr">
        <is>
          <t>0-59</t>
        </is>
      </c>
      <c r="G7" s="12" t="inlineStr">
        <is>
          <t>F</t>
        </is>
      </c>
    </row>
    <row r="8" ht="15" customHeight="1" thickBot="1">
      <c r="C8" s="36" t="n"/>
      <c r="D8" s="36" t="n"/>
      <c r="E8" s="37" t="n"/>
    </row>
    <row r="9">
      <c r="E9" s="124" t="inlineStr">
        <is>
          <t>Production</t>
        </is>
      </c>
      <c r="F9" s="147" t="n"/>
      <c r="G9" s="148" t="n"/>
      <c r="H9" s="124" t="inlineStr">
        <is>
          <t>Planning</t>
        </is>
      </c>
      <c r="I9" s="148" t="n"/>
      <c r="J9" s="124" t="inlineStr">
        <is>
          <t>Yarn</t>
        </is>
      </c>
      <c r="K9" s="147" t="n"/>
      <c r="L9" s="148" t="n"/>
      <c r="M9" s="138" t="inlineStr">
        <is>
          <t>Store</t>
        </is>
      </c>
      <c r="N9" s="147" t="n"/>
      <c r="O9" s="148" t="n"/>
      <c r="P9" s="124" t="inlineStr">
        <is>
          <t>Commercial Dept.</t>
        </is>
      </c>
      <c r="Q9" s="147" t="n"/>
      <c r="R9" s="147" t="n"/>
      <c r="S9" s="148" t="n"/>
      <c r="T9" s="124" t="inlineStr">
        <is>
          <t>ERP</t>
        </is>
      </c>
      <c r="U9" s="148" t="n"/>
      <c r="V9" s="124" t="inlineStr">
        <is>
          <t>HR</t>
        </is>
      </c>
      <c r="W9" s="148" t="n"/>
      <c r="X9" s="61" t="inlineStr">
        <is>
          <t>Reporting Boss</t>
        </is>
      </c>
    </row>
    <row r="10">
      <c r="E10" s="42" t="n">
        <v>1</v>
      </c>
      <c r="F10" s="43" t="n">
        <v>2</v>
      </c>
      <c r="G10" s="44" t="n">
        <v>3</v>
      </c>
      <c r="H10" s="42" t="n">
        <v>4</v>
      </c>
      <c r="I10" s="44" t="n">
        <v>5</v>
      </c>
      <c r="J10" s="42" t="n">
        <v>6</v>
      </c>
      <c r="K10" s="43" t="n">
        <v>7</v>
      </c>
      <c r="L10" s="101" t="n">
        <v>8</v>
      </c>
      <c r="M10" s="42" t="n">
        <v>9</v>
      </c>
      <c r="N10" s="107" t="n">
        <v>10</v>
      </c>
      <c r="O10" s="44" t="n">
        <v>11</v>
      </c>
      <c r="P10" s="42" t="n">
        <v>12</v>
      </c>
      <c r="Q10" s="43" t="n">
        <v>13</v>
      </c>
      <c r="R10" s="43" t="n">
        <v>14</v>
      </c>
      <c r="S10" s="44" t="n">
        <v>15</v>
      </c>
      <c r="T10" s="42" t="n">
        <v>16</v>
      </c>
      <c r="U10" s="44" t="n">
        <v>17</v>
      </c>
      <c r="V10" s="42" t="n">
        <v>18</v>
      </c>
      <c r="W10" s="44" t="n">
        <v>19</v>
      </c>
      <c r="X10" s="42" t="n">
        <v>20</v>
      </c>
    </row>
    <row r="11" ht="82.8" customFormat="1" customHeight="1" s="34">
      <c r="A11" s="128" t="inlineStr">
        <is>
          <t>SL</t>
        </is>
      </c>
      <c r="B11" s="128" t="inlineStr">
        <is>
          <t>ID No</t>
        </is>
      </c>
      <c r="C11" s="126" t="inlineStr">
        <is>
          <t>Merchandiser's Name</t>
        </is>
      </c>
      <c r="D11" s="127" t="inlineStr">
        <is>
          <t>Designation</t>
        </is>
      </c>
      <c r="E11" s="45" t="inlineStr">
        <is>
          <t>Does the merchandiser attend the PP meeting and clarify all points?</t>
        </is>
      </c>
      <c r="F11" s="46" t="inlineStr">
        <is>
          <t>Does the merchandiser provide clear guidelines for any critical buyer comments?</t>
        </is>
      </c>
      <c r="G11" s="47" t="inlineStr">
        <is>
          <t xml:space="preserve">How cooperative is the merchandiser in the case of any production problem?     </t>
        </is>
      </c>
      <c r="H11" s="45" t="inlineStr">
        <is>
          <t>Does the merchandiser provide the forecast quantity and final quantity on time by email?</t>
        </is>
      </c>
      <c r="I11" s="47" t="inlineStr">
        <is>
          <t>TNA</t>
        </is>
      </c>
      <c r="J11" s="45" t="inlineStr">
        <is>
          <t>How cooperative is the merchandiser in case of any yarn problem?</t>
        </is>
      </c>
      <c r="K11" s="46" t="inlineStr">
        <is>
          <t>How efficiently merchandiser can handle yarn problem?</t>
        </is>
      </c>
      <c r="L11" s="47" t="inlineStr">
        <is>
          <t>Does the merchandiser provide clear information for yarn delivery?</t>
        </is>
      </c>
      <c r="M11" s="102" t="inlineStr">
        <is>
          <t>How cooperative is the merchandiser in case of any trims problem?</t>
        </is>
      </c>
      <c r="N11" s="46" t="inlineStr">
        <is>
          <t>How efficiently merchandiser can handle trims problem?</t>
        </is>
      </c>
      <c r="O11" s="47" t="inlineStr">
        <is>
          <t>Does the merchandiser provide clear information for trim delivery?</t>
        </is>
      </c>
      <c r="P11" s="69" t="inlineStr">
        <is>
          <t>Does the relevant merchandiser provide emails in due time for orders as per the ERP system?</t>
        </is>
      </c>
      <c r="Q11" s="46" t="inlineStr">
        <is>
          <t>From the merchandiser do you receive the correct packing list?</t>
        </is>
      </c>
      <c r="R11" s="46" t="inlineStr">
        <is>
          <t>Have the LC documents been received correctly?</t>
        </is>
      </c>
      <c r="S11" s="47" t="inlineStr">
        <is>
          <t>Do you receive clear information from the merchandiser about any imports?</t>
        </is>
      </c>
      <c r="T11" s="45" t="inlineStr">
        <is>
          <t>Accuracy of ERP input</t>
        </is>
      </c>
      <c r="U11" s="47" t="inlineStr">
        <is>
          <t xml:space="preserve">How much is the achievement percentage of targeted production </t>
        </is>
      </c>
      <c r="V11" s="45" t="inlineStr">
        <is>
          <t xml:space="preserve">Are there any disciplinary Actions/Instructions?  </t>
        </is>
      </c>
      <c r="W11" s="47" t="inlineStr">
        <is>
          <t>Punctuality</t>
        </is>
      </c>
      <c r="X11" s="62" t="inlineStr">
        <is>
          <t>How is his overall performance in your opinion?</t>
        </is>
      </c>
      <c r="Y11" s="149" t="inlineStr">
        <is>
          <t>Achieve Mark
(Out of 100)</t>
        </is>
      </c>
      <c r="Z11" s="150" t="inlineStr">
        <is>
          <t>Achieve %</t>
        </is>
      </c>
      <c r="AA11" s="151" t="inlineStr">
        <is>
          <t>Grade</t>
        </is>
      </c>
      <c r="AB11" s="33" t="n"/>
      <c r="AC11" s="33" t="n"/>
    </row>
    <row r="12" ht="83.40000000000001" customFormat="1" customHeight="1" s="34" thickBot="1">
      <c r="A12" s="152" t="n"/>
      <c r="B12" s="152" t="n"/>
      <c r="C12" s="152" t="n"/>
      <c r="D12" s="144" t="n"/>
      <c r="E12" s="78" t="inlineStr">
        <is>
          <t>মার্চেন্ডাইজার কি পিপি মিটিংয়ে উপস্থিত হন এবং সমস্ত পয়েন্ট স্পষ্ট করেন?</t>
        </is>
      </c>
      <c r="F12" s="79" t="inlineStr">
        <is>
          <t>জটিল / গুরুত্বপূর্ণ ক্রেতার ক্ষেত্রে মার্চেন্ডাইজার কি কোনো স্পষ্ট নির্দেশিকা প্রদান করে?</t>
        </is>
      </c>
      <c r="G12" s="80" t="inlineStr">
        <is>
          <t xml:space="preserve">
উৎপাদন সমস্যার ক্ষেত্রে মার্চেন্ডাইজার কতটা সহযোগিতামূলক?</t>
        </is>
      </c>
      <c r="H12" s="78" t="inlineStr">
        <is>
          <t>মার্চেন্ডাইজার কি ইমেইল এর মাধ্যমে সময়মতো সম্ভাব্য অর্ডারের পরিমাণ এবং চূড়ান্ত পরিমাণ প্রদান করে?</t>
        </is>
      </c>
      <c r="I12" s="81" t="inlineStr">
        <is>
          <t>টাইম এন্ড অ্যাকশন</t>
        </is>
      </c>
      <c r="J12" s="104" t="inlineStr">
        <is>
          <t>সুতার সমস্যার ক্ষেত্রে মার্চেন্ডাইজার কতটা সহযোগিতামূলক?</t>
        </is>
      </c>
      <c r="K12" s="105" t="inlineStr">
        <is>
          <t>মার্চেন্ডাইজার কতটা দক্ষতার সাথে সুতার সমস্যা মোকাবেলা করতে পারে?</t>
        </is>
      </c>
      <c r="L12" s="106" t="inlineStr">
        <is>
          <t>মার্চেন্ডাইজার কি সুতা সরবরাহের জন্য স্পষ্ট তথ্য প্রদান করে?</t>
        </is>
      </c>
      <c r="M12" s="103" t="inlineStr">
        <is>
          <t xml:space="preserve"> ট্রিমস সমস্যার ক্ষেত্রে মার্চেন্ডাইজার কতটা সহযোগিতামূলক?</t>
        </is>
      </c>
      <c r="N12" s="79" t="inlineStr">
        <is>
          <t>কতটা দক্ষতার সাথে মার্চেন্ডাইজার ট্রিমস সমস্যা পরিচালনা করতে পারে?</t>
        </is>
      </c>
      <c r="O12" s="81" t="inlineStr">
        <is>
          <t>মার্চেন্ডাইজার কি  ট্রিমস সরবরাহের জন্য স্পষ্ট তথ্য প্রদান করে?</t>
        </is>
      </c>
      <c r="P12" s="82" t="inlineStr">
        <is>
          <t>ERP সিস্টেম অনুযায়ী অর্ডারের জন্য প্রাসঙ্গিক মার্চেন্টাইজার কি সময়মত ইমেল প্রদান করেন?</t>
        </is>
      </c>
      <c r="Q12" s="79" t="inlineStr">
        <is>
          <t>মার্চেন্ডাইজারের কাছ থেকে আপনি কি সঠিক প্যাকিং তালিকা পান?</t>
        </is>
      </c>
      <c r="R12" s="79" t="inlineStr">
        <is>
          <t>এলসি কাগজপত্র সঠিকভাবে গৃহীত হয়েছে?</t>
        </is>
      </c>
      <c r="S12" s="81" t="inlineStr">
        <is>
          <t>আপনি কি  আমদানি সম্পর্কে মার্চেন্ডাইজারের কাছ থেকে স্পষ্ট তথ্য পান?</t>
        </is>
      </c>
      <c r="T12" s="78" t="inlineStr">
        <is>
          <t>নির্ভুল ই আর পি ইনপুট</t>
        </is>
      </c>
      <c r="U12" s="81" t="inlineStr">
        <is>
          <t xml:space="preserve"> এই মাসে টার্গেটেড উৎপাদনের শতকরা হার ( %)</t>
        </is>
      </c>
      <c r="V12" s="78" t="inlineStr">
        <is>
          <t>কোন শাস্তিমূলক ব্যবস্থা/নির্দেশ আছে কি?</t>
        </is>
      </c>
      <c r="W12" s="81" t="inlineStr">
        <is>
          <t>সময়ানুবর্তিতা</t>
        </is>
      </c>
      <c r="X12" s="75" t="inlineStr">
        <is>
          <t>আপনার মতে তার সার্বিক পারফরম্যান্স কেমন?</t>
        </is>
      </c>
      <c r="Y12" s="143" t="n"/>
      <c r="Z12" s="153" t="n"/>
      <c r="AA12" s="153" t="n"/>
      <c r="AB12" s="33" t="n"/>
      <c r="AC12" s="33" t="n"/>
    </row>
    <row r="13" ht="22.2" customFormat="1" customHeight="1" s="6" thickBot="1">
      <c r="A13" s="30" t="n"/>
      <c r="B13" s="31" t="n"/>
      <c r="C13" s="32" t="n"/>
      <c r="D13" s="38" t="inlineStr">
        <is>
          <t>Mark</t>
        </is>
      </c>
      <c r="E13" s="77" t="inlineStr">
        <is>
          <t>Mark Out of (5)</t>
        </is>
      </c>
      <c r="F13" s="89" t="inlineStr">
        <is>
          <t>Mark out of (5)</t>
        </is>
      </c>
      <c r="G13" s="88" t="inlineStr">
        <is>
          <t>Mark Out of (5)</t>
        </is>
      </c>
      <c r="H13" s="88" t="inlineStr">
        <is>
          <t>Mark Out of (5)</t>
        </is>
      </c>
      <c r="I13" s="88" t="inlineStr">
        <is>
          <t>Mark Out of (5)</t>
        </is>
      </c>
      <c r="J13" s="88" t="inlineStr">
        <is>
          <t>Mark Out of (5)</t>
        </is>
      </c>
      <c r="K13" s="88" t="inlineStr">
        <is>
          <t>Mark Out of (5)</t>
        </is>
      </c>
      <c r="L13" s="88" t="inlineStr">
        <is>
          <t>Mark Out of (5)</t>
        </is>
      </c>
      <c r="M13" s="88" t="inlineStr">
        <is>
          <t>Mark Out of (5)</t>
        </is>
      </c>
      <c r="N13" s="88" t="inlineStr">
        <is>
          <t>Mark Out of (5)</t>
        </is>
      </c>
      <c r="O13" s="88" t="inlineStr">
        <is>
          <t>Mark Out of (5)</t>
        </is>
      </c>
      <c r="P13" s="88" t="inlineStr">
        <is>
          <t>Mark Out of (5)</t>
        </is>
      </c>
      <c r="Q13" s="88" t="inlineStr">
        <is>
          <t>Mark Out of (5)</t>
        </is>
      </c>
      <c r="R13" s="88" t="inlineStr">
        <is>
          <t>Mark Out of (5)</t>
        </is>
      </c>
      <c r="S13" s="88" t="inlineStr">
        <is>
          <t>Mark Out of (5)</t>
        </is>
      </c>
      <c r="T13" s="88" t="inlineStr">
        <is>
          <t>Mark Out of (5)</t>
        </is>
      </c>
      <c r="U13" s="88" t="inlineStr">
        <is>
          <t>Mark Out of (5)</t>
        </is>
      </c>
      <c r="V13" s="88" t="inlineStr">
        <is>
          <t>Mark Out of (5)</t>
        </is>
      </c>
      <c r="W13" s="88" t="inlineStr">
        <is>
          <t>Mark Out of (5)</t>
        </is>
      </c>
      <c r="X13" s="77" t="inlineStr">
        <is>
          <t>Mark Out of (5)</t>
        </is>
      </c>
      <c r="Y13" s="146" t="n"/>
      <c r="Z13" s="152" t="n"/>
      <c r="AA13" s="152" t="n"/>
      <c r="AB13" s="3" t="n"/>
      <c r="AC13" s="3" t="n"/>
    </row>
    <row r="14" ht="30" customHeight="1">
      <c r="A14" s="9" t="n">
        <v>1</v>
      </c>
      <c r="B14" s="11" t="inlineStr">
        <is>
          <t>HO-124</t>
        </is>
      </c>
      <c r="C14" s="8" t="inlineStr">
        <is>
          <t>Omar Sadeque Khan</t>
        </is>
      </c>
      <c r="D14" s="39" t="inlineStr">
        <is>
          <t>Sr. Manager</t>
        </is>
      </c>
      <c r="E14" s="83" t="n"/>
      <c r="F14" s="84" t="n"/>
      <c r="G14" s="85" t="n"/>
      <c r="H14" s="96" t="n"/>
      <c r="I14" s="85" t="n"/>
      <c r="J14" s="83" t="n">
        <v>5</v>
      </c>
      <c r="K14" s="86" t="n">
        <v>4</v>
      </c>
      <c r="L14" s="87" t="n">
        <v>4</v>
      </c>
      <c r="M14" s="83" t="n"/>
      <c r="N14" s="86" t="n"/>
      <c r="O14" s="87" t="n"/>
      <c r="P14" s="83" t="n"/>
      <c r="Q14" s="86" t="n"/>
      <c r="R14" s="86" t="n"/>
      <c r="S14" s="87" t="n"/>
      <c r="T14" s="83" t="n"/>
      <c r="U14" s="87" t="n"/>
      <c r="V14" s="83" t="n"/>
      <c r="W14" s="87" t="n"/>
      <c r="X14" s="76" t="n"/>
      <c r="Y14" s="41" t="n">
        <v>13</v>
      </c>
      <c r="Z14" s="13" t="n">
        <v>0.13</v>
      </c>
      <c r="AA14" s="14" t="inlineStr">
        <is>
          <t>F</t>
        </is>
      </c>
    </row>
    <row r="15" ht="30" customHeight="1">
      <c r="A15" s="11" t="n">
        <v>2</v>
      </c>
      <c r="B15" s="11" t="inlineStr">
        <is>
          <t>HO-16</t>
        </is>
      </c>
      <c r="C15" s="8" t="inlineStr">
        <is>
          <t>Md. Billal Hossain</t>
        </is>
      </c>
      <c r="D15" s="39" t="inlineStr">
        <is>
          <t>Sr. Merchandiser</t>
        </is>
      </c>
      <c r="E15" s="48" t="n"/>
      <c r="F15" s="49" t="n"/>
      <c r="G15" s="50" t="n"/>
      <c r="H15" s="97" t="n"/>
      <c r="I15" s="50" t="n"/>
      <c r="J15" s="48" t="n">
        <v>4</v>
      </c>
      <c r="K15" s="64" t="n">
        <v>3</v>
      </c>
      <c r="L15" s="65" t="n">
        <v>4</v>
      </c>
      <c r="M15" s="48" t="n"/>
      <c r="N15" s="64" t="n"/>
      <c r="O15" s="65" t="n"/>
      <c r="P15" s="70" t="n"/>
      <c r="Q15" s="64" t="n"/>
      <c r="R15" s="64" t="n"/>
      <c r="S15" s="65" t="n"/>
      <c r="T15" s="48" t="n"/>
      <c r="U15" s="65" t="n"/>
      <c r="V15" s="48" t="n"/>
      <c r="W15" s="65" t="n"/>
      <c r="X15" s="73" t="n"/>
      <c r="Y15" s="41" t="n">
        <v>11</v>
      </c>
      <c r="Z15" s="13" t="n">
        <v>0.11</v>
      </c>
      <c r="AA15" s="14" t="inlineStr">
        <is>
          <t>F</t>
        </is>
      </c>
    </row>
    <row r="16" hidden="1" ht="30" customHeight="1">
      <c r="A16" s="9" t="n">
        <v>3</v>
      </c>
      <c r="B16" s="11" t="inlineStr">
        <is>
          <t>HO-71</t>
        </is>
      </c>
      <c r="C16" s="8" t="inlineStr">
        <is>
          <t>Md. Anisur Rahman</t>
        </is>
      </c>
      <c r="D16" s="39" t="inlineStr">
        <is>
          <t>Merchandiser</t>
        </is>
      </c>
      <c r="E16" s="48" t="n"/>
      <c r="F16" s="49" t="n"/>
      <c r="G16" s="50" t="n"/>
      <c r="H16" s="97" t="n"/>
      <c r="I16" s="50" t="n"/>
      <c r="J16" s="48" t="n"/>
      <c r="K16" s="64" t="n"/>
      <c r="L16" s="65" t="n"/>
      <c r="M16" s="48" t="n"/>
      <c r="N16" s="64" t="n"/>
      <c r="O16" s="65" t="n"/>
      <c r="P16" s="70" t="n"/>
      <c r="Q16" s="64" t="n"/>
      <c r="R16" s="64" t="n"/>
      <c r="S16" s="65" t="n"/>
      <c r="T16" s="48" t="n"/>
      <c r="U16" s="65" t="n"/>
      <c r="V16" s="48" t="n"/>
      <c r="W16" s="65" t="n"/>
      <c r="X16" s="73" t="n"/>
      <c r="Y16" s="41" t="n">
        <v>0</v>
      </c>
      <c r="Z16" s="13" t="n">
        <v>0</v>
      </c>
      <c r="AA16" s="14" t="inlineStr">
        <is>
          <t>F</t>
        </is>
      </c>
    </row>
    <row r="17" hidden="1" ht="30" customHeight="1">
      <c r="A17" s="11" t="n">
        <v>4</v>
      </c>
      <c r="B17" s="11" t="inlineStr">
        <is>
          <t>M-302</t>
        </is>
      </c>
      <c r="C17" s="8" t="inlineStr">
        <is>
          <t>Sheikh Shahriar Arif</t>
        </is>
      </c>
      <c r="D17" s="39" t="inlineStr">
        <is>
          <t>Asst. Merchandiser</t>
        </is>
      </c>
      <c r="E17" s="48" t="n"/>
      <c r="F17" s="49" t="n"/>
      <c r="G17" s="50" t="n"/>
      <c r="H17" s="97" t="n"/>
      <c r="I17" s="50" t="n"/>
      <c r="J17" s="48" t="n"/>
      <c r="K17" s="64" t="n"/>
      <c r="L17" s="65" t="n"/>
      <c r="M17" s="48" t="n"/>
      <c r="N17" s="64" t="n"/>
      <c r="O17" s="65" t="n"/>
      <c r="P17" s="70" t="n"/>
      <c r="Q17" s="64" t="n"/>
      <c r="R17" s="64" t="n"/>
      <c r="S17" s="65" t="n"/>
      <c r="T17" s="48" t="n"/>
      <c r="U17" s="65" t="n"/>
      <c r="V17" s="48" t="n"/>
      <c r="W17" s="65" t="n"/>
      <c r="X17" s="73" t="n"/>
      <c r="Y17" s="41" t="n">
        <v>0</v>
      </c>
      <c r="Z17" s="13" t="n">
        <v>0</v>
      </c>
      <c r="AA17" s="14" t="inlineStr">
        <is>
          <t>F</t>
        </is>
      </c>
    </row>
    <row r="18" hidden="1" ht="30" customHeight="1">
      <c r="A18" s="9" t="n">
        <v>5</v>
      </c>
      <c r="B18" s="11" t="inlineStr">
        <is>
          <t>HO-165</t>
        </is>
      </c>
      <c r="C18" s="8" t="inlineStr">
        <is>
          <t>Md. Mossaddaque Hossain</t>
        </is>
      </c>
      <c r="D18" s="39" t="inlineStr">
        <is>
          <t>Jr. Merchandiser</t>
        </is>
      </c>
      <c r="E18" s="48" t="n"/>
      <c r="F18" s="49" t="n"/>
      <c r="G18" s="50" t="n"/>
      <c r="H18" s="97" t="n"/>
      <c r="I18" s="50" t="n"/>
      <c r="J18" s="48" t="n"/>
      <c r="K18" s="64" t="n"/>
      <c r="L18" s="65" t="n"/>
      <c r="M18" s="48" t="n"/>
      <c r="N18" s="64" t="n"/>
      <c r="O18" s="65" t="n"/>
      <c r="P18" s="70" t="n"/>
      <c r="Q18" s="64" t="n"/>
      <c r="R18" s="64" t="n"/>
      <c r="S18" s="65" t="n"/>
      <c r="T18" s="48" t="n"/>
      <c r="U18" s="65" t="n"/>
      <c r="V18" s="48" t="n"/>
      <c r="W18" s="65" t="n"/>
      <c r="X18" s="73" t="n"/>
      <c r="Y18" s="41" t="n">
        <v>0</v>
      </c>
      <c r="Z18" s="13" t="n">
        <v>0</v>
      </c>
      <c r="AA18" s="14" t="inlineStr">
        <is>
          <t>F</t>
        </is>
      </c>
    </row>
    <row r="19" hidden="1" ht="30" customHeight="1">
      <c r="A19" s="11" t="n">
        <v>6</v>
      </c>
      <c r="B19" s="11" t="inlineStr">
        <is>
          <t>HO-176</t>
        </is>
      </c>
      <c r="C19" s="8" t="inlineStr">
        <is>
          <t>Sajjadur Rahman</t>
        </is>
      </c>
      <c r="D19" s="39" t="inlineStr">
        <is>
          <t>Jr. Merchandiser</t>
        </is>
      </c>
      <c r="E19" s="48" t="n"/>
      <c r="F19" s="49" t="n"/>
      <c r="G19" s="50" t="n"/>
      <c r="H19" s="97" t="n"/>
      <c r="I19" s="50" t="n"/>
      <c r="J19" s="48" t="n"/>
      <c r="K19" s="64" t="n"/>
      <c r="L19" s="65" t="n"/>
      <c r="M19" s="48" t="n"/>
      <c r="N19" s="64" t="n"/>
      <c r="O19" s="65" t="n"/>
      <c r="P19" s="70" t="n"/>
      <c r="Q19" s="64" t="n"/>
      <c r="R19" s="64" t="n"/>
      <c r="S19" s="65" t="n"/>
      <c r="T19" s="48" t="n"/>
      <c r="U19" s="65" t="n"/>
      <c r="V19" s="48" t="n"/>
      <c r="W19" s="65" t="n"/>
      <c r="X19" s="73" t="n"/>
      <c r="Y19" s="41" t="n">
        <v>0</v>
      </c>
      <c r="Z19" s="13" t="n">
        <v>0</v>
      </c>
      <c r="AA19" s="14" t="inlineStr">
        <is>
          <t>F</t>
        </is>
      </c>
    </row>
    <row r="20" ht="30" customHeight="1">
      <c r="A20" s="9" t="n">
        <v>7</v>
      </c>
      <c r="B20" s="11" t="inlineStr">
        <is>
          <t>HO-118</t>
        </is>
      </c>
      <c r="C20" s="8" t="inlineStr">
        <is>
          <t>Nobiqul Islam Khandker Kajal</t>
        </is>
      </c>
      <c r="D20" s="39" t="inlineStr">
        <is>
          <t>Sr. Manager</t>
        </is>
      </c>
      <c r="E20" s="48" t="n"/>
      <c r="F20" s="51" t="n"/>
      <c r="G20" s="52" t="n"/>
      <c r="H20" s="98" t="n"/>
      <c r="I20" s="52" t="n"/>
      <c r="J20" s="48" t="n">
        <v>5</v>
      </c>
      <c r="K20" s="64" t="n">
        <v>5</v>
      </c>
      <c r="L20" s="65" t="n">
        <v>4</v>
      </c>
      <c r="M20" s="48" t="n"/>
      <c r="N20" s="64" t="n"/>
      <c r="O20" s="65" t="n"/>
      <c r="P20" s="70" t="n"/>
      <c r="Q20" s="64" t="n"/>
      <c r="R20" s="64" t="n"/>
      <c r="S20" s="65" t="n"/>
      <c r="T20" s="48" t="n"/>
      <c r="U20" s="65" t="n"/>
      <c r="V20" s="48" t="n"/>
      <c r="W20" s="65" t="n"/>
      <c r="X20" s="73" t="n"/>
      <c r="Y20" s="41" t="n">
        <v>14</v>
      </c>
      <c r="Z20" s="13" t="n">
        <v>0.14</v>
      </c>
      <c r="AA20" s="14" t="inlineStr">
        <is>
          <t>F</t>
        </is>
      </c>
    </row>
    <row r="21" hidden="1" ht="30" customHeight="1">
      <c r="A21" s="11" t="n">
        <v>8</v>
      </c>
      <c r="B21" s="11" t="inlineStr">
        <is>
          <t>HO-123</t>
        </is>
      </c>
      <c r="C21" s="8" t="inlineStr">
        <is>
          <t>Md. Abdur Rahman Doulat</t>
        </is>
      </c>
      <c r="D21" s="39" t="inlineStr">
        <is>
          <t>Merchandiser Assistant</t>
        </is>
      </c>
      <c r="E21" s="48" t="n"/>
      <c r="F21" s="51" t="n"/>
      <c r="G21" s="52" t="n"/>
      <c r="H21" s="98" t="n"/>
      <c r="I21" s="52" t="n"/>
      <c r="J21" s="48" t="n"/>
      <c r="K21" s="64" t="n"/>
      <c r="L21" s="65" t="n"/>
      <c r="M21" s="48" t="n"/>
      <c r="N21" s="64" t="n"/>
      <c r="O21" s="65" t="n"/>
      <c r="P21" s="70" t="n"/>
      <c r="Q21" s="64" t="n"/>
      <c r="R21" s="64" t="n"/>
      <c r="S21" s="65" t="n"/>
      <c r="T21" s="48" t="n"/>
      <c r="U21" s="65" t="n"/>
      <c r="V21" s="48" t="n"/>
      <c r="W21" s="65" t="n"/>
      <c r="X21" s="73" t="n"/>
      <c r="Y21" s="41" t="n">
        <v>0</v>
      </c>
      <c r="Z21" s="13" t="n">
        <v>0</v>
      </c>
      <c r="AA21" s="14" t="inlineStr">
        <is>
          <t>F</t>
        </is>
      </c>
    </row>
    <row r="22" ht="30" customHeight="1">
      <c r="A22" s="9" t="n">
        <v>9</v>
      </c>
      <c r="B22" s="11" t="inlineStr">
        <is>
          <t>HO-26</t>
        </is>
      </c>
      <c r="C22" s="8" t="inlineStr">
        <is>
          <t>Md. Asaduzzaman</t>
        </is>
      </c>
      <c r="D22" s="39" t="inlineStr">
        <is>
          <t>Sr. Merchandiser</t>
        </is>
      </c>
      <c r="E22" s="48" t="n"/>
      <c r="F22" s="51" t="n"/>
      <c r="G22" s="52" t="n"/>
      <c r="H22" s="98" t="n"/>
      <c r="I22" s="52" t="n"/>
      <c r="J22" s="48" t="n">
        <v>4</v>
      </c>
      <c r="K22" s="64" t="n">
        <v>4</v>
      </c>
      <c r="L22" s="65" t="n">
        <v>3</v>
      </c>
      <c r="M22" s="48" t="n"/>
      <c r="N22" s="64" t="n"/>
      <c r="O22" s="65" t="n"/>
      <c r="P22" s="70" t="n"/>
      <c r="Q22" s="64" t="n"/>
      <c r="R22" s="64" t="n"/>
      <c r="S22" s="65" t="n"/>
      <c r="T22" s="48" t="n"/>
      <c r="U22" s="65" t="n"/>
      <c r="V22" s="48" t="n"/>
      <c r="W22" s="65" t="n"/>
      <c r="X22" s="73" t="n"/>
      <c r="Y22" s="41" t="n">
        <v>11</v>
      </c>
      <c r="Z22" s="13" t="n">
        <v>0.11</v>
      </c>
      <c r="AA22" s="14" t="inlineStr">
        <is>
          <t>F</t>
        </is>
      </c>
    </row>
    <row r="23" hidden="1" ht="30" customHeight="1">
      <c r="A23" s="11" t="n">
        <v>10</v>
      </c>
      <c r="B23" s="11" t="inlineStr">
        <is>
          <t>HO-98</t>
        </is>
      </c>
      <c r="C23" s="8" t="inlineStr">
        <is>
          <t>Md. Mahafuzur Rahman Khan</t>
        </is>
      </c>
      <c r="D23" s="39" t="inlineStr">
        <is>
          <t>Jr. Merchandiser</t>
        </is>
      </c>
      <c r="E23" s="48" t="n"/>
      <c r="F23" s="49" t="n"/>
      <c r="G23" s="50" t="n"/>
      <c r="H23" s="97" t="n"/>
      <c r="I23" s="50" t="n"/>
      <c r="J23" s="48" t="n"/>
      <c r="K23" s="64" t="n"/>
      <c r="L23" s="65" t="n"/>
      <c r="M23" s="48" t="n"/>
      <c r="N23" s="64" t="n"/>
      <c r="O23" s="65" t="n"/>
      <c r="P23" s="70" t="n"/>
      <c r="Q23" s="64" t="n"/>
      <c r="R23" s="64" t="n"/>
      <c r="S23" s="65" t="n"/>
      <c r="T23" s="48" t="n"/>
      <c r="U23" s="65" t="n"/>
      <c r="V23" s="48" t="n"/>
      <c r="W23" s="65" t="n"/>
      <c r="X23" s="73" t="n"/>
      <c r="Y23" s="41" t="n">
        <v>0</v>
      </c>
      <c r="Z23" s="13" t="n">
        <v>0</v>
      </c>
      <c r="AA23" s="14" t="inlineStr">
        <is>
          <t>F</t>
        </is>
      </c>
    </row>
    <row r="24" hidden="1" ht="30" customHeight="1">
      <c r="A24" s="9" t="n">
        <v>11</v>
      </c>
      <c r="B24" s="11" t="inlineStr">
        <is>
          <t>HO-154</t>
        </is>
      </c>
      <c r="C24" s="8" t="inlineStr">
        <is>
          <t>Md. Habibur Rahman</t>
        </is>
      </c>
      <c r="D24" s="39" t="inlineStr">
        <is>
          <t>Jr. Merchandiser</t>
        </is>
      </c>
      <c r="E24" s="48" t="n"/>
      <c r="F24" s="49" t="n"/>
      <c r="G24" s="50" t="n"/>
      <c r="H24" s="97" t="n"/>
      <c r="I24" s="50" t="n"/>
      <c r="J24" s="48" t="n"/>
      <c r="K24" s="64" t="n"/>
      <c r="L24" s="65" t="n"/>
      <c r="M24" s="48" t="n"/>
      <c r="N24" s="64" t="n"/>
      <c r="O24" s="65" t="n"/>
      <c r="P24" s="70" t="n"/>
      <c r="Q24" s="64" t="n"/>
      <c r="R24" s="64" t="n"/>
      <c r="S24" s="65" t="n"/>
      <c r="T24" s="48" t="n"/>
      <c r="U24" s="65" t="n"/>
      <c r="V24" s="48" t="n"/>
      <c r="W24" s="65" t="n"/>
      <c r="X24" s="73" t="n"/>
      <c r="Y24" s="41" t="n">
        <v>0</v>
      </c>
      <c r="Z24" s="13" t="n">
        <v>0</v>
      </c>
      <c r="AA24" s="14" t="inlineStr">
        <is>
          <t>F</t>
        </is>
      </c>
    </row>
    <row r="25" hidden="1" ht="30" customHeight="1">
      <c r="A25" s="11" t="n">
        <v>12</v>
      </c>
      <c r="B25" s="11" t="inlineStr">
        <is>
          <t>HO-114</t>
        </is>
      </c>
      <c r="C25" s="8" t="inlineStr">
        <is>
          <t>Syed Amran Hossain</t>
        </is>
      </c>
      <c r="D25" s="39" t="inlineStr">
        <is>
          <t>Merchandiser</t>
        </is>
      </c>
      <c r="E25" s="48" t="n"/>
      <c r="F25" s="49" t="n"/>
      <c r="G25" s="50" t="n"/>
      <c r="H25" s="97" t="n"/>
      <c r="I25" s="50" t="n"/>
      <c r="J25" s="48" t="n"/>
      <c r="K25" s="64" t="n"/>
      <c r="L25" s="65" t="n"/>
      <c r="M25" s="48" t="n"/>
      <c r="N25" s="64" t="n"/>
      <c r="O25" s="65" t="n"/>
      <c r="P25" s="70" t="n"/>
      <c r="Q25" s="64" t="n"/>
      <c r="R25" s="64" t="n"/>
      <c r="S25" s="65" t="n"/>
      <c r="T25" s="48" t="n"/>
      <c r="U25" s="65" t="n"/>
      <c r="V25" s="48" t="n"/>
      <c r="W25" s="65" t="n"/>
      <c r="X25" s="73" t="n"/>
      <c r="Y25" s="41" t="n">
        <v>0</v>
      </c>
      <c r="Z25" s="13" t="n">
        <v>0</v>
      </c>
      <c r="AA25" s="14" t="inlineStr">
        <is>
          <t>F</t>
        </is>
      </c>
    </row>
    <row r="26" ht="30" customHeight="1">
      <c r="A26" s="9" t="n">
        <v>13</v>
      </c>
      <c r="B26" s="11" t="inlineStr">
        <is>
          <t>HO-33</t>
        </is>
      </c>
      <c r="C26" s="8" t="inlineStr">
        <is>
          <t>Md. Alamgir Hasan Shibli</t>
        </is>
      </c>
      <c r="D26" s="39" t="inlineStr">
        <is>
          <t>Sr. Manager</t>
        </is>
      </c>
      <c r="E26" s="48" t="n"/>
      <c r="F26" s="51" t="n"/>
      <c r="G26" s="52" t="n"/>
      <c r="H26" s="98" t="n"/>
      <c r="I26" s="52" t="n"/>
      <c r="J26" s="48" t="n">
        <v>3</v>
      </c>
      <c r="K26" s="64" t="n">
        <v>3</v>
      </c>
      <c r="L26" s="65" t="n">
        <v>3</v>
      </c>
      <c r="M26" s="48" t="n"/>
      <c r="N26" s="64" t="n"/>
      <c r="O26" s="65" t="n"/>
      <c r="P26" s="70" t="n"/>
      <c r="Q26" s="64" t="n"/>
      <c r="R26" s="64" t="n"/>
      <c r="S26" s="65" t="n"/>
      <c r="T26" s="48" t="n"/>
      <c r="U26" s="65" t="n"/>
      <c r="V26" s="48" t="n"/>
      <c r="W26" s="65" t="n"/>
      <c r="X26" s="73" t="n"/>
      <c r="Y26" s="41" t="n">
        <v>9</v>
      </c>
      <c r="Z26" s="13" t="n">
        <v>0.09</v>
      </c>
      <c r="AA26" s="14" t="inlineStr">
        <is>
          <t>F</t>
        </is>
      </c>
    </row>
    <row r="27" hidden="1" ht="30" customHeight="1">
      <c r="A27" s="11" t="n">
        <v>14</v>
      </c>
      <c r="B27" s="11" t="inlineStr">
        <is>
          <t>HO-29</t>
        </is>
      </c>
      <c r="C27" s="8" t="inlineStr">
        <is>
          <t>Md. Tafiqul Islam</t>
        </is>
      </c>
      <c r="D27" s="39" t="inlineStr">
        <is>
          <t>Merchandiser</t>
        </is>
      </c>
      <c r="E27" s="48" t="n"/>
      <c r="F27" s="51" t="n"/>
      <c r="G27" s="52" t="n"/>
      <c r="H27" s="98" t="n"/>
      <c r="I27" s="52" t="n"/>
      <c r="J27" s="48" t="n"/>
      <c r="K27" s="64" t="n"/>
      <c r="L27" s="65" t="n"/>
      <c r="M27" s="48" t="n"/>
      <c r="N27" s="64" t="n"/>
      <c r="O27" s="65" t="n"/>
      <c r="P27" s="70" t="n"/>
      <c r="Q27" s="64" t="n"/>
      <c r="R27" s="64" t="n"/>
      <c r="S27" s="65" t="n"/>
      <c r="T27" s="48" t="n"/>
      <c r="U27" s="65" t="n"/>
      <c r="V27" s="48" t="n"/>
      <c r="W27" s="65" t="n"/>
      <c r="X27" s="73" t="n"/>
      <c r="Y27" s="41" t="n">
        <v>0</v>
      </c>
      <c r="Z27" s="13" t="n">
        <v>0</v>
      </c>
      <c r="AA27" s="14" t="inlineStr">
        <is>
          <t>F</t>
        </is>
      </c>
    </row>
    <row r="28" hidden="1" ht="30" customHeight="1">
      <c r="A28" s="9" t="n">
        <v>15</v>
      </c>
      <c r="B28" s="11" t="inlineStr">
        <is>
          <t>HO-172</t>
        </is>
      </c>
      <c r="C28" s="8" t="inlineStr">
        <is>
          <t>Sabbir Hossen</t>
        </is>
      </c>
      <c r="D28" s="39" t="inlineStr">
        <is>
          <t>Asst. Merchandiser</t>
        </is>
      </c>
      <c r="E28" s="48" t="n"/>
      <c r="F28" s="51" t="n"/>
      <c r="G28" s="52" t="n"/>
      <c r="H28" s="98" t="n"/>
      <c r="I28" s="52" t="n"/>
      <c r="J28" s="48" t="n"/>
      <c r="K28" s="64" t="n"/>
      <c r="L28" s="65" t="n"/>
      <c r="M28" s="48" t="n"/>
      <c r="N28" s="64" t="n"/>
      <c r="O28" s="65" t="n"/>
      <c r="P28" s="70" t="n"/>
      <c r="Q28" s="64" t="n"/>
      <c r="R28" s="64" t="n"/>
      <c r="S28" s="65" t="n"/>
      <c r="T28" s="48" t="n"/>
      <c r="U28" s="65" t="n"/>
      <c r="V28" s="48" t="n"/>
      <c r="W28" s="65" t="n"/>
      <c r="X28" s="73" t="n"/>
      <c r="Y28" s="41" t="n">
        <v>0</v>
      </c>
      <c r="Z28" s="13" t="n">
        <v>0</v>
      </c>
      <c r="AA28" s="14" t="inlineStr">
        <is>
          <t>F</t>
        </is>
      </c>
    </row>
    <row r="29" ht="30" customHeight="1">
      <c r="A29" s="11" t="n">
        <v>16</v>
      </c>
      <c r="B29" s="11" t="inlineStr">
        <is>
          <t>HO-140</t>
        </is>
      </c>
      <c r="C29" s="8" t="inlineStr">
        <is>
          <t>Md. Enjamul Haque</t>
        </is>
      </c>
      <c r="D29" s="39" t="inlineStr">
        <is>
          <t>Merchandiser</t>
        </is>
      </c>
      <c r="E29" s="48" t="n"/>
      <c r="F29" s="51" t="n"/>
      <c r="G29" s="52" t="n"/>
      <c r="H29" s="98" t="n"/>
      <c r="I29" s="52" t="n"/>
      <c r="J29" s="48" t="n">
        <v>4</v>
      </c>
      <c r="K29" s="64" t="n">
        <v>4</v>
      </c>
      <c r="L29" s="65" t="n">
        <v>3</v>
      </c>
      <c r="M29" s="48" t="n"/>
      <c r="N29" s="64" t="n"/>
      <c r="O29" s="65" t="n"/>
      <c r="P29" s="70" t="n"/>
      <c r="Q29" s="64" t="n"/>
      <c r="R29" s="64" t="n"/>
      <c r="S29" s="65" t="n"/>
      <c r="T29" s="48" t="n"/>
      <c r="U29" s="65" t="n"/>
      <c r="V29" s="48" t="n"/>
      <c r="W29" s="65" t="n"/>
      <c r="X29" s="73" t="n"/>
      <c r="Y29" s="41" t="n">
        <v>11</v>
      </c>
      <c r="Z29" s="13" t="n">
        <v>0.11</v>
      </c>
      <c r="AA29" s="14" t="inlineStr">
        <is>
          <t>F</t>
        </is>
      </c>
    </row>
    <row r="30" hidden="1" ht="30" customHeight="1">
      <c r="A30" s="9" t="n">
        <v>17</v>
      </c>
      <c r="B30" s="11" t="inlineStr">
        <is>
          <t>HO-156</t>
        </is>
      </c>
      <c r="C30" s="8" t="inlineStr">
        <is>
          <t>Ahasan Habib Apu</t>
        </is>
      </c>
      <c r="D30" s="39" t="inlineStr">
        <is>
          <t>Jr. Merchandiser</t>
        </is>
      </c>
      <c r="E30" s="53" t="n"/>
      <c r="F30" s="51" t="n"/>
      <c r="G30" s="52" t="n"/>
      <c r="H30" s="98" t="n"/>
      <c r="I30" s="52" t="n"/>
      <c r="J30" s="53" t="n"/>
      <c r="K30" s="66" t="n"/>
      <c r="L30" s="67" t="n"/>
      <c r="M30" s="53" t="n"/>
      <c r="N30" s="66" t="n"/>
      <c r="O30" s="67" t="n"/>
      <c r="P30" s="71" t="n"/>
      <c r="Q30" s="66" t="n"/>
      <c r="R30" s="66" t="n"/>
      <c r="S30" s="67" t="n"/>
      <c r="T30" s="53" t="n"/>
      <c r="U30" s="67" t="n"/>
      <c r="V30" s="53" t="n"/>
      <c r="W30" s="67" t="n"/>
      <c r="X30" s="74" t="n"/>
      <c r="Y30" s="41" t="n">
        <v>0</v>
      </c>
      <c r="Z30" s="13" t="n">
        <v>0</v>
      </c>
      <c r="AA30" s="14" t="inlineStr">
        <is>
          <t>F</t>
        </is>
      </c>
    </row>
    <row r="31" ht="30" customHeight="1">
      <c r="A31" s="11" t="n">
        <v>18</v>
      </c>
      <c r="B31" s="11" t="inlineStr">
        <is>
          <t>HO-86</t>
        </is>
      </c>
      <c r="C31" s="8" t="inlineStr">
        <is>
          <t>Muhammad Junayed Hossain</t>
        </is>
      </c>
      <c r="D31" s="39" t="inlineStr">
        <is>
          <t>Merchandiser</t>
        </is>
      </c>
      <c r="E31" s="53" t="n"/>
      <c r="F31" s="51" t="n"/>
      <c r="G31" s="52" t="n"/>
      <c r="H31" s="98" t="n"/>
      <c r="I31" s="52" t="n"/>
      <c r="J31" s="53" t="n">
        <v>4</v>
      </c>
      <c r="K31" s="66" t="n">
        <v>3</v>
      </c>
      <c r="L31" s="67" t="n">
        <v>4</v>
      </c>
      <c r="M31" s="53" t="n"/>
      <c r="N31" s="66" t="n"/>
      <c r="O31" s="67" t="n"/>
      <c r="P31" s="71" t="n"/>
      <c r="Q31" s="66" t="n"/>
      <c r="R31" s="66" t="n"/>
      <c r="S31" s="67" t="n"/>
      <c r="T31" s="53" t="n"/>
      <c r="U31" s="67" t="n"/>
      <c r="V31" s="53" t="n"/>
      <c r="W31" s="67" t="n"/>
      <c r="X31" s="74" t="n"/>
      <c r="Y31" s="41" t="n">
        <v>11</v>
      </c>
      <c r="Z31" s="13" t="n">
        <v>0.11</v>
      </c>
      <c r="AA31" s="14" t="inlineStr">
        <is>
          <t>F</t>
        </is>
      </c>
    </row>
    <row r="32" hidden="1" ht="30" customHeight="1">
      <c r="A32" s="9" t="n">
        <v>19</v>
      </c>
      <c r="B32" s="11" t="inlineStr">
        <is>
          <t>HO-20</t>
        </is>
      </c>
      <c r="C32" s="8" t="inlineStr">
        <is>
          <t>Golam Zakaria Sumon</t>
        </is>
      </c>
      <c r="D32" s="39" t="inlineStr">
        <is>
          <t>Asst. Merchandiser</t>
        </is>
      </c>
      <c r="E32" s="53" t="n"/>
      <c r="F32" s="54" t="n"/>
      <c r="G32" s="55" t="n"/>
      <c r="H32" s="99" t="n"/>
      <c r="I32" s="55" t="n"/>
      <c r="J32" s="53" t="n"/>
      <c r="K32" s="66" t="n"/>
      <c r="L32" s="67" t="n"/>
      <c r="M32" s="53" t="n"/>
      <c r="N32" s="66" t="n"/>
      <c r="O32" s="67" t="n"/>
      <c r="P32" s="71" t="n"/>
      <c r="Q32" s="66" t="n"/>
      <c r="R32" s="66" t="n"/>
      <c r="S32" s="67" t="n"/>
      <c r="T32" s="53" t="n"/>
      <c r="U32" s="67" t="n"/>
      <c r="V32" s="53" t="n"/>
      <c r="W32" s="67" t="n"/>
      <c r="X32" s="74" t="n"/>
      <c r="Y32" s="41" t="n">
        <v>0</v>
      </c>
      <c r="Z32" s="13" t="n">
        <v>0</v>
      </c>
      <c r="AA32" s="14" t="inlineStr">
        <is>
          <t>F</t>
        </is>
      </c>
    </row>
    <row r="33" hidden="1" ht="30" customHeight="1">
      <c r="A33" s="11" t="n">
        <v>20</v>
      </c>
      <c r="B33" s="11" t="inlineStr">
        <is>
          <t>HO-181</t>
        </is>
      </c>
      <c r="C33" s="8" t="inlineStr">
        <is>
          <t>Md. Khaled Mahmud Hasan</t>
        </is>
      </c>
      <c r="D33" s="39" t="inlineStr">
        <is>
          <t>Asst. Merchandiser</t>
        </is>
      </c>
      <c r="E33" s="53" t="n"/>
      <c r="F33" s="54" t="n"/>
      <c r="G33" s="55" t="n"/>
      <c r="H33" s="99" t="n"/>
      <c r="I33" s="55" t="n"/>
      <c r="J33" s="53" t="n"/>
      <c r="K33" s="66" t="n"/>
      <c r="L33" s="67" t="n"/>
      <c r="M33" s="53" t="n"/>
      <c r="N33" s="66" t="n"/>
      <c r="O33" s="67" t="n"/>
      <c r="P33" s="71" t="n"/>
      <c r="Q33" s="66" t="n"/>
      <c r="R33" s="66" t="n"/>
      <c r="S33" s="67" t="n"/>
      <c r="T33" s="53" t="n"/>
      <c r="U33" s="67" t="n"/>
      <c r="V33" s="53" t="n"/>
      <c r="W33" s="67" t="n"/>
      <c r="X33" s="74" t="n"/>
      <c r="Y33" s="41" t="n">
        <v>0</v>
      </c>
      <c r="Z33" s="13" t="n">
        <v>0</v>
      </c>
      <c r="AA33" s="14" t="inlineStr">
        <is>
          <t>F</t>
        </is>
      </c>
    </row>
    <row r="34" hidden="1" ht="30" customHeight="1">
      <c r="A34" s="9" t="n">
        <v>21</v>
      </c>
      <c r="B34" s="11" t="inlineStr">
        <is>
          <t>HO-175</t>
        </is>
      </c>
      <c r="C34" s="8" t="inlineStr">
        <is>
          <t>Md. Obaidul Haque</t>
        </is>
      </c>
      <c r="D34" s="39" t="inlineStr">
        <is>
          <t>Asst. Manager</t>
        </is>
      </c>
      <c r="E34" s="53" t="n"/>
      <c r="F34" s="51" t="n"/>
      <c r="G34" s="52" t="n"/>
      <c r="H34" s="98" t="n"/>
      <c r="I34" s="52" t="n"/>
      <c r="J34" s="53" t="n"/>
      <c r="K34" s="66" t="n"/>
      <c r="L34" s="67" t="n"/>
      <c r="M34" s="53" t="n"/>
      <c r="N34" s="66" t="n"/>
      <c r="O34" s="67" t="n"/>
      <c r="P34" s="71" t="n"/>
      <c r="Q34" s="66" t="n"/>
      <c r="R34" s="66" t="n"/>
      <c r="S34" s="67" t="n"/>
      <c r="T34" s="53" t="n"/>
      <c r="U34" s="67" t="n"/>
      <c r="V34" s="53" t="n"/>
      <c r="W34" s="67" t="n"/>
      <c r="X34" s="74" t="n"/>
      <c r="Y34" s="41" t="n">
        <v>0</v>
      </c>
      <c r="Z34" s="13" t="n">
        <v>0</v>
      </c>
      <c r="AA34" s="14" t="inlineStr">
        <is>
          <t>F</t>
        </is>
      </c>
    </row>
    <row r="35" ht="30" customHeight="1">
      <c r="A35" s="11" t="n">
        <v>22</v>
      </c>
      <c r="B35" s="11" t="inlineStr">
        <is>
          <t>HO-10</t>
        </is>
      </c>
      <c r="C35" s="8" t="inlineStr">
        <is>
          <t>Md. Farhad Hossain</t>
        </is>
      </c>
      <c r="D35" s="39" t="inlineStr">
        <is>
          <t>Merchandiser</t>
        </is>
      </c>
      <c r="E35" s="53" t="n"/>
      <c r="F35" s="56" t="n"/>
      <c r="G35" s="57" t="n"/>
      <c r="H35" s="100" t="n"/>
      <c r="I35" s="57" t="n"/>
      <c r="J35" s="53" t="n">
        <v>4</v>
      </c>
      <c r="K35" s="66" t="n">
        <v>3</v>
      </c>
      <c r="L35" s="67" t="n">
        <v>4</v>
      </c>
      <c r="M35" s="53" t="n"/>
      <c r="N35" s="66" t="n"/>
      <c r="O35" s="67" t="n"/>
      <c r="P35" s="71" t="n"/>
      <c r="Q35" s="66" t="n"/>
      <c r="R35" s="66" t="n"/>
      <c r="S35" s="67" t="n"/>
      <c r="T35" s="53" t="n"/>
      <c r="U35" s="67" t="n"/>
      <c r="V35" s="53" t="n"/>
      <c r="W35" s="67" t="n"/>
      <c r="X35" s="74" t="n"/>
      <c r="Y35" s="41" t="n">
        <v>11</v>
      </c>
      <c r="Z35" s="13" t="n">
        <v>0.11</v>
      </c>
      <c r="AA35" s="14" t="inlineStr">
        <is>
          <t>F</t>
        </is>
      </c>
    </row>
    <row r="36" ht="30" customHeight="1">
      <c r="A36" s="9" t="n">
        <v>23</v>
      </c>
      <c r="B36" s="11" t="inlineStr">
        <is>
          <t>HO-170</t>
        </is>
      </c>
      <c r="C36" s="8" t="inlineStr">
        <is>
          <t>Md. Jony Uddin</t>
        </is>
      </c>
      <c r="D36" s="39" t="inlineStr">
        <is>
          <t>Sr. Merchandiser</t>
        </is>
      </c>
      <c r="E36" s="53" t="n"/>
      <c r="F36" s="51" t="n"/>
      <c r="G36" s="52" t="n"/>
      <c r="H36" s="98" t="n"/>
      <c r="I36" s="52" t="n"/>
      <c r="J36" s="53" t="n">
        <v>3</v>
      </c>
      <c r="K36" s="66" t="n">
        <v>3</v>
      </c>
      <c r="L36" s="67" t="n">
        <v>3</v>
      </c>
      <c r="M36" s="53" t="n"/>
      <c r="N36" s="66" t="n"/>
      <c r="O36" s="67" t="n"/>
      <c r="P36" s="71" t="n"/>
      <c r="Q36" s="66" t="n"/>
      <c r="R36" s="66" t="n"/>
      <c r="S36" s="67" t="n"/>
      <c r="T36" s="53" t="n"/>
      <c r="U36" s="67" t="n"/>
      <c r="V36" s="53" t="n"/>
      <c r="W36" s="67" t="n"/>
      <c r="X36" s="74" t="n"/>
      <c r="Y36" s="41" t="n">
        <v>9</v>
      </c>
      <c r="Z36" s="13" t="n">
        <v>0.09</v>
      </c>
      <c r="AA36" s="14" t="inlineStr">
        <is>
          <t>F</t>
        </is>
      </c>
    </row>
    <row r="37" hidden="1" ht="30" customHeight="1">
      <c r="A37" s="11" t="n">
        <v>24</v>
      </c>
      <c r="B37" s="11" t="inlineStr">
        <is>
          <t>HO-182</t>
        </is>
      </c>
      <c r="C37" s="8" t="inlineStr">
        <is>
          <t>Md. Zahid Hassan</t>
        </is>
      </c>
      <c r="D37" s="39" t="inlineStr">
        <is>
          <t>Asst. Merchandiser</t>
        </is>
      </c>
      <c r="E37" s="53" t="n"/>
      <c r="F37" s="56" t="n"/>
      <c r="G37" s="57" t="n"/>
      <c r="H37" s="100" t="n"/>
      <c r="I37" s="57" t="n"/>
      <c r="J37" s="53" t="n"/>
      <c r="K37" s="66" t="n"/>
      <c r="L37" s="67" t="n"/>
      <c r="M37" s="53" t="n"/>
      <c r="N37" s="66" t="n"/>
      <c r="O37" s="67" t="n"/>
      <c r="P37" s="71" t="n"/>
      <c r="Q37" s="66" t="n"/>
      <c r="R37" s="66" t="n"/>
      <c r="S37" s="67" t="n"/>
      <c r="T37" s="53" t="n"/>
      <c r="U37" s="67" t="n"/>
      <c r="V37" s="53" t="n"/>
      <c r="W37" s="67" t="n"/>
      <c r="X37" s="74" t="n"/>
      <c r="Y37" s="41" t="n">
        <v>0</v>
      </c>
      <c r="Z37" s="13" t="n">
        <v>0</v>
      </c>
      <c r="AA37" s="14" t="inlineStr">
        <is>
          <t>F</t>
        </is>
      </c>
    </row>
    <row r="38" ht="30" customHeight="1">
      <c r="A38" s="9" t="n">
        <v>25</v>
      </c>
      <c r="B38" s="9" t="inlineStr">
        <is>
          <t>HO-145</t>
        </is>
      </c>
      <c r="C38" s="7" t="inlineStr">
        <is>
          <t>Mahin Ahmed</t>
        </is>
      </c>
      <c r="D38" s="40" t="inlineStr">
        <is>
          <t>Jr. Merchandiser</t>
        </is>
      </c>
      <c r="E38" s="53" t="n"/>
      <c r="F38" s="51" t="n"/>
      <c r="G38" s="52" t="n"/>
      <c r="H38" s="98" t="n"/>
      <c r="I38" s="52" t="n"/>
      <c r="J38" s="53" t="n">
        <v>3</v>
      </c>
      <c r="K38" s="66" t="n">
        <v>3</v>
      </c>
      <c r="L38" s="67" t="n">
        <v>3</v>
      </c>
      <c r="M38" s="53" t="n"/>
      <c r="N38" s="66" t="n"/>
      <c r="O38" s="67" t="n"/>
      <c r="P38" s="71" t="n"/>
      <c r="Q38" s="66" t="n"/>
      <c r="R38" s="66" t="n"/>
      <c r="S38" s="67" t="n"/>
      <c r="T38" s="53" t="n"/>
      <c r="U38" s="67" t="n"/>
      <c r="V38" s="53" t="n"/>
      <c r="W38" s="67" t="n"/>
      <c r="X38" s="74" t="n"/>
      <c r="Y38" s="41" t="n">
        <v>9</v>
      </c>
      <c r="Z38" s="13" t="n">
        <v>0.09</v>
      </c>
      <c r="AA38" s="14" t="inlineStr">
        <is>
          <t>F</t>
        </is>
      </c>
    </row>
    <row r="39" ht="30" customHeight="1">
      <c r="A39" s="11" t="n">
        <v>26</v>
      </c>
      <c r="B39" s="9" t="inlineStr">
        <is>
          <t>HO-127</t>
        </is>
      </c>
      <c r="C39" s="7" t="inlineStr">
        <is>
          <t>Md. Arifuzzaman</t>
        </is>
      </c>
      <c r="D39" s="40" t="inlineStr">
        <is>
          <t>Merchandiser</t>
        </is>
      </c>
      <c r="E39" s="53" t="n"/>
      <c r="F39" s="51" t="n"/>
      <c r="G39" s="52" t="n"/>
      <c r="H39" s="98" t="n"/>
      <c r="I39" s="52" t="n"/>
      <c r="J39" s="53" t="n">
        <v>3</v>
      </c>
      <c r="K39" s="66" t="n">
        <v>3</v>
      </c>
      <c r="L39" s="67" t="n">
        <v>3</v>
      </c>
      <c r="M39" s="53" t="n"/>
      <c r="N39" s="66" t="n"/>
      <c r="O39" s="67" t="n"/>
      <c r="P39" s="71" t="n"/>
      <c r="Q39" s="66" t="n"/>
      <c r="R39" s="66" t="n"/>
      <c r="S39" s="67" t="n"/>
      <c r="T39" s="53" t="n"/>
      <c r="U39" s="67" t="n"/>
      <c r="V39" s="53" t="n"/>
      <c r="W39" s="67" t="n"/>
      <c r="X39" s="74" t="n"/>
      <c r="Y39" s="41" t="n">
        <v>9</v>
      </c>
      <c r="Z39" s="13" t="n">
        <v>0.09</v>
      </c>
      <c r="AA39" s="14" t="inlineStr">
        <is>
          <t>F</t>
        </is>
      </c>
    </row>
    <row r="40" ht="30" customHeight="1">
      <c r="A40" s="9" t="n">
        <v>27</v>
      </c>
      <c r="B40" s="9" t="inlineStr">
        <is>
          <t>HO-178</t>
        </is>
      </c>
      <c r="C40" s="7" t="inlineStr">
        <is>
          <t>Md. Bellal Hossain Helal</t>
        </is>
      </c>
      <c r="D40" s="40" t="inlineStr">
        <is>
          <t>Manager</t>
        </is>
      </c>
      <c r="E40" s="53" t="n"/>
      <c r="F40" s="51" t="n"/>
      <c r="G40" s="52" t="n"/>
      <c r="H40" s="98" t="n"/>
      <c r="I40" s="52" t="n"/>
      <c r="J40" s="53" t="n">
        <v>0</v>
      </c>
      <c r="K40" s="66" t="n">
        <v>0</v>
      </c>
      <c r="L40" s="67" t="n">
        <v>0</v>
      </c>
      <c r="M40" s="53" t="n"/>
      <c r="N40" s="66" t="n"/>
      <c r="O40" s="67" t="n"/>
      <c r="P40" s="71" t="n"/>
      <c r="Q40" s="66" t="n"/>
      <c r="R40" s="66" t="n"/>
      <c r="S40" s="67" t="n"/>
      <c r="T40" s="53" t="n"/>
      <c r="U40" s="67" t="n"/>
      <c r="V40" s="53" t="n"/>
      <c r="W40" s="67" t="n"/>
      <c r="X40" s="74" t="n"/>
      <c r="Y40" s="41" t="n">
        <v>0</v>
      </c>
      <c r="Z40" s="13" t="n">
        <v>0</v>
      </c>
      <c r="AA40" s="14" t="inlineStr">
        <is>
          <t>F</t>
        </is>
      </c>
    </row>
    <row r="41" ht="28.8" customFormat="1" customHeight="1" s="16" thickBot="1">
      <c r="A41" s="11" t="n">
        <v>28</v>
      </c>
      <c r="B41" s="9" t="inlineStr">
        <is>
          <t>HO-170</t>
        </is>
      </c>
      <c r="C41" s="7" t="inlineStr">
        <is>
          <t>Md. Sazzad Hossain</t>
        </is>
      </c>
      <c r="D41" s="40" t="inlineStr">
        <is>
          <t>Manager</t>
        </is>
      </c>
      <c r="E41" s="108" t="n"/>
      <c r="F41" s="59" t="n"/>
      <c r="G41" s="60" t="n"/>
      <c r="H41" s="58" t="n"/>
      <c r="I41" s="60" t="n"/>
      <c r="J41" s="58" t="n">
        <v>3</v>
      </c>
      <c r="K41" s="68" t="n">
        <v>3</v>
      </c>
      <c r="L41" s="60" t="n">
        <v>3</v>
      </c>
      <c r="M41" s="58" t="n"/>
      <c r="N41" s="68" t="n"/>
      <c r="O41" s="60" t="n"/>
      <c r="P41" s="72" t="n"/>
      <c r="Q41" s="68" t="n"/>
      <c r="R41" s="68" t="n"/>
      <c r="S41" s="60" t="n"/>
      <c r="T41" s="58" t="n"/>
      <c r="U41" s="60" t="n"/>
      <c r="V41" s="58" t="n"/>
      <c r="W41" s="60" t="n"/>
      <c r="X41" s="63" t="n"/>
      <c r="Y41" s="41" t="n">
        <v>9</v>
      </c>
      <c r="Z41" s="13" t="n">
        <v>0.09</v>
      </c>
      <c r="AA41" s="14" t="inlineStr">
        <is>
          <t>F</t>
        </is>
      </c>
      <c r="AB41" s="5" t="n"/>
    </row>
  </sheetData>
  <mergeCells count="21">
    <mergeCell ref="A2:Y2"/>
    <mergeCell ref="C6:D6"/>
    <mergeCell ref="C5:D5"/>
    <mergeCell ref="B11:B12"/>
    <mergeCell ref="E9:G9"/>
    <mergeCell ref="D11:D12"/>
    <mergeCell ref="H9:I9"/>
    <mergeCell ref="C4:D4"/>
    <mergeCell ref="AA11:AA13"/>
    <mergeCell ref="C11:C12"/>
    <mergeCell ref="T9:U9"/>
    <mergeCell ref="V9:W9"/>
    <mergeCell ref="P9:S9"/>
    <mergeCell ref="Z11:Z13"/>
    <mergeCell ref="A1:Y1"/>
    <mergeCell ref="C7:D7"/>
    <mergeCell ref="M9:O9"/>
    <mergeCell ref="Y11:Y13"/>
    <mergeCell ref="J9:L9"/>
    <mergeCell ref="C3:D3"/>
    <mergeCell ref="A11:A1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Ziaur Rahman</dc:creator>
  <dcterms:created xmlns:dcterms="http://purl.org/dc/terms/" xmlns:xsi="http://www.w3.org/2001/XMLSchema-instance" xsi:type="dcterms:W3CDTF">2024-07-07T02:41:27Z</dcterms:created>
  <dcterms:modified xmlns:dcterms="http://purl.org/dc/terms/" xmlns:xsi="http://www.w3.org/2001/XMLSchema-instance" xsi:type="dcterms:W3CDTF">2025-12-13T13:52:19Z</dcterms:modified>
  <cp:lastModifiedBy>Prottoy Saha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0x0101003A54C49968BEAB47A835694E823A7EC4</vt:lpwstr>
  </property>
</Properties>
</file>